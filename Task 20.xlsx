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AC7E1E0A-F253-4DC0-AD4C-30520A1DAFD4}" xr6:coauthVersionLast="47" xr6:coauthVersionMax="47" xr10:uidLastSave="{00000000-0000-0000-0000-000000000000}"/>
  <bookViews>
    <workbookView xWindow="-108" yWindow="-108" windowWidth="23256" windowHeight="12456" firstSheet="1" activeTab="2" xr2:uid="{00000000-000D-0000-FFFF-FFFF00000000}"/>
  </bookViews>
  <sheets>
    <sheet name="Dataset" sheetId="1" r:id="rId1"/>
    <sheet name="Pivot Table" sheetId="2" r:id="rId2"/>
    <sheet name="Employee Details Dashboard" sheetId="3" r:id="rId3"/>
  </sheets>
  <definedNames>
    <definedName name="_xlcn.WorksheetConnection_Sheet1A1I1511" hidden="1">Dataset!$A$1:$I$151</definedName>
    <definedName name="_xlnm.Print_Area" localSheetId="2">'Employee Details Dashboard'!$A$1:$W$29</definedName>
    <definedName name="Slicer_Country">#N/A</definedName>
    <definedName name="Slicer_Department">#N/A</definedName>
    <definedName name="Slicer_Gender">#N/A</definedName>
    <definedName name="Slicer_Performance_Rating">#N/A</definedName>
  </definedNames>
  <calcPr calcId="191028"/>
  <pivotCaches>
    <pivotCache cacheId="0" r:id="rId4"/>
    <pivotCache cacheId="1" r:id="rId5"/>
    <pivotCache cacheId="2" r:id="rId6"/>
    <pivotCache cacheId="3" r:id="rId7"/>
    <pivotCache cacheId="4" r:id="rId8"/>
    <pivotCache cacheId="5"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I$15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52" i="1" l="1"/>
  <c r="D152" i="1"/>
  <c r="E152" i="1"/>
  <c r="F152" i="1"/>
  <c r="G152" i="1"/>
  <c r="H152" i="1"/>
  <c r="I15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40E1C2-A091-485A-8718-68F7C2F339A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865B21A-F755-4FDD-99E5-054808DE4BA9}" name="WorksheetConnection_Sheet1!$A$1:$I$151" type="102" refreshedVersion="8" minRefreshableVersion="5">
    <extLst>
      <ext xmlns:x15="http://schemas.microsoft.com/office/spreadsheetml/2010/11/main" uri="{DE250136-89BD-433C-8126-D09CA5730AF9}">
        <x15:connection id="Range" autoDelete="1">
          <x15:rangePr sourceName="_xlcn.WorksheetConnection_Sheet1A1I1511"/>
        </x15:connection>
      </ext>
    </extLst>
  </connection>
</connections>
</file>

<file path=xl/sharedStrings.xml><?xml version="1.0" encoding="utf-8"?>
<sst xmlns="http://schemas.openxmlformats.org/spreadsheetml/2006/main" count="967" uniqueCount="288">
  <si>
    <t>Employee ID</t>
  </si>
  <si>
    <t>Name</t>
  </si>
  <si>
    <t>Department</t>
  </si>
  <si>
    <t>Country</t>
  </si>
  <si>
    <t>Salary</t>
  </si>
  <si>
    <t>Performance Rating</t>
  </si>
  <si>
    <t>Date of Joining</t>
  </si>
  <si>
    <t>Gender</t>
  </si>
  <si>
    <t>Email</t>
  </si>
  <si>
    <t>EMP1000</t>
  </si>
  <si>
    <t>Chris Lee</t>
  </si>
  <si>
    <t>Finance</t>
  </si>
  <si>
    <t>India</t>
  </si>
  <si>
    <t>Other</t>
  </si>
  <si>
    <t>invalid_email</t>
  </si>
  <si>
    <t>EMP1001</t>
  </si>
  <si>
    <t>Eve Adams</t>
  </si>
  <si>
    <t>HR</t>
  </si>
  <si>
    <t>Germany</t>
  </si>
  <si>
    <t>user106@example.com</t>
  </si>
  <si>
    <t>EMP1002</t>
  </si>
  <si>
    <t>Alice Brown</t>
  </si>
  <si>
    <t>Female</t>
  </si>
  <si>
    <t>user176@example.com</t>
  </si>
  <si>
    <t>EMP1003</t>
  </si>
  <si>
    <t>John Doe</t>
  </si>
  <si>
    <t>Sales</t>
  </si>
  <si>
    <t>USA</t>
  </si>
  <si>
    <t>Male</t>
  </si>
  <si>
    <t>user168@example.com</t>
  </si>
  <si>
    <t>EMP1004</t>
  </si>
  <si>
    <t>Jane Smith</t>
  </si>
  <si>
    <t>user49@example.com</t>
  </si>
  <si>
    <t>EMP1005</t>
  </si>
  <si>
    <t>IT</t>
  </si>
  <si>
    <t>user24@example.com</t>
  </si>
  <si>
    <t>EMP1006</t>
  </si>
  <si>
    <t>Sam Wilson</t>
  </si>
  <si>
    <t>EMP1007</t>
  </si>
  <si>
    <t>Marketing</t>
  </si>
  <si>
    <t>user26@example.com</t>
  </si>
  <si>
    <t>EMP1008</t>
  </si>
  <si>
    <t>user25@example.com</t>
  </si>
  <si>
    <t>EMP1009</t>
  </si>
  <si>
    <t>UK</t>
  </si>
  <si>
    <t>user153@example.com</t>
  </si>
  <si>
    <t>EMP1010</t>
  </si>
  <si>
    <t>user18@example.com</t>
  </si>
  <si>
    <t>EMP1011</t>
  </si>
  <si>
    <t>user1@example.com</t>
  </si>
  <si>
    <t>EMP1012</t>
  </si>
  <si>
    <t>Bob Johnson</t>
  </si>
  <si>
    <t>EMP1013</t>
  </si>
  <si>
    <t>user180@example.com</t>
  </si>
  <si>
    <t>EMP1014</t>
  </si>
  <si>
    <t>user184@example.com</t>
  </si>
  <si>
    <t>EMP1015</t>
  </si>
  <si>
    <t>user3@example.com</t>
  </si>
  <si>
    <t>EMP1016</t>
  </si>
  <si>
    <t>user64@example.com</t>
  </si>
  <si>
    <t>EMP1017</t>
  </si>
  <si>
    <t>Australia</t>
  </si>
  <si>
    <t>user38@example.com</t>
  </si>
  <si>
    <t>EMP1018</t>
  </si>
  <si>
    <t>user96@example.com</t>
  </si>
  <si>
    <t>EMP1019</t>
  </si>
  <si>
    <t>user151@example.com</t>
  </si>
  <si>
    <t>EMP1020</t>
  </si>
  <si>
    <t>user200@example.com</t>
  </si>
  <si>
    <t>EMP1021</t>
  </si>
  <si>
    <t>user77@example.com</t>
  </si>
  <si>
    <t>EMP1022</t>
  </si>
  <si>
    <t>user128@example.com</t>
  </si>
  <si>
    <t>EMP1023</t>
  </si>
  <si>
    <t>user149@example.com</t>
  </si>
  <si>
    <t>EMP1024</t>
  </si>
  <si>
    <t>user122@example.com</t>
  </si>
  <si>
    <t>EMP1025</t>
  </si>
  <si>
    <t>user41@example.com</t>
  </si>
  <si>
    <t>EMP1026</t>
  </si>
  <si>
    <t>user68@example.com</t>
  </si>
  <si>
    <t>EMP1027</t>
  </si>
  <si>
    <t>user103@example.com</t>
  </si>
  <si>
    <t>EMP1028</t>
  </si>
  <si>
    <t>user135@example.com</t>
  </si>
  <si>
    <t>EMP1029</t>
  </si>
  <si>
    <t>user83@example.com</t>
  </si>
  <si>
    <t>EMP1030</t>
  </si>
  <si>
    <t>user109@example.com</t>
  </si>
  <si>
    <t>EMP1031</t>
  </si>
  <si>
    <t>user143@example.com</t>
  </si>
  <si>
    <t>EMP1032</t>
  </si>
  <si>
    <t>user190@example.com</t>
  </si>
  <si>
    <t>EMP1033</t>
  </si>
  <si>
    <t>user136@example.com</t>
  </si>
  <si>
    <t>EMP1034</t>
  </si>
  <si>
    <t>user198@example.com</t>
  </si>
  <si>
    <t>EMP1035</t>
  </si>
  <si>
    <t>EMP1036</t>
  </si>
  <si>
    <t>user31@example.com</t>
  </si>
  <si>
    <t>EMP1037</t>
  </si>
  <si>
    <t>user98@example.com</t>
  </si>
  <si>
    <t>EMP1038</t>
  </si>
  <si>
    <t>user154@example.com</t>
  </si>
  <si>
    <t>EMP1039</t>
  </si>
  <si>
    <t>user42@example.com</t>
  </si>
  <si>
    <t>EMP1040</t>
  </si>
  <si>
    <t>user89@example.com</t>
  </si>
  <si>
    <t>EMP1041</t>
  </si>
  <si>
    <t>user47@example.com</t>
  </si>
  <si>
    <t>EMP1042</t>
  </si>
  <si>
    <t>user175@example.com</t>
  </si>
  <si>
    <t>EMP1043</t>
  </si>
  <si>
    <t>user57@example.com</t>
  </si>
  <si>
    <t>EMP1044</t>
  </si>
  <si>
    <t>user20@example.com</t>
  </si>
  <si>
    <t>EMP1045</t>
  </si>
  <si>
    <t>EMP1046</t>
  </si>
  <si>
    <t>user199@example.com</t>
  </si>
  <si>
    <t>EMP1047</t>
  </si>
  <si>
    <t>user43@example.com</t>
  </si>
  <si>
    <t>EMP1048</t>
  </si>
  <si>
    <t>EMP1049</t>
  </si>
  <si>
    <t>EMP1050</t>
  </si>
  <si>
    <t>user95@example.com</t>
  </si>
  <si>
    <t>EMP1051</t>
  </si>
  <si>
    <t>user59@example.com</t>
  </si>
  <si>
    <t>EMP1052</t>
  </si>
  <si>
    <t>user152@example.com</t>
  </si>
  <si>
    <t>EMP1053</t>
  </si>
  <si>
    <t>EMP1054</t>
  </si>
  <si>
    <t>user92@example.com</t>
  </si>
  <si>
    <t>EMP1055</t>
  </si>
  <si>
    <t>user50@example.com</t>
  </si>
  <si>
    <t>EMP1056</t>
  </si>
  <si>
    <t>user63@example.com</t>
  </si>
  <si>
    <t>EMP1057</t>
  </si>
  <si>
    <t>EMP1058</t>
  </si>
  <si>
    <t>user150@example.com</t>
  </si>
  <si>
    <t>EMP1059</t>
  </si>
  <si>
    <t>EMP1060</t>
  </si>
  <si>
    <t>user112@example.com</t>
  </si>
  <si>
    <t>EMP1061</t>
  </si>
  <si>
    <t>EMP1062</t>
  </si>
  <si>
    <t>user71@example.com</t>
  </si>
  <si>
    <t>EMP1063</t>
  </si>
  <si>
    <t>user97@example.com</t>
  </si>
  <si>
    <t>EMP1064</t>
  </si>
  <si>
    <t>user141@example.com</t>
  </si>
  <si>
    <t>EMP1065</t>
  </si>
  <si>
    <t>user125@example.com</t>
  </si>
  <si>
    <t>EMP1066</t>
  </si>
  <si>
    <t>user90@example.com</t>
  </si>
  <si>
    <t>EMP1067</t>
  </si>
  <si>
    <t>user192@example.com</t>
  </si>
  <si>
    <t>EMP1068</t>
  </si>
  <si>
    <t>EMP1069</t>
  </si>
  <si>
    <t>user65@example.com</t>
  </si>
  <si>
    <t>EMP1070</t>
  </si>
  <si>
    <t>EMP1071</t>
  </si>
  <si>
    <t>user142@example.com</t>
  </si>
  <si>
    <t>EMP1072</t>
  </si>
  <si>
    <t>EMP1073</t>
  </si>
  <si>
    <t>EMP1074</t>
  </si>
  <si>
    <t>EMP1075</t>
  </si>
  <si>
    <t>user17@example.com</t>
  </si>
  <si>
    <t>EMP1076</t>
  </si>
  <si>
    <t>EMP1077</t>
  </si>
  <si>
    <t>user22@example.com</t>
  </si>
  <si>
    <t>EMP1078</t>
  </si>
  <si>
    <t>user46@example.com</t>
  </si>
  <si>
    <t>EMP1079</t>
  </si>
  <si>
    <t>user55@example.com</t>
  </si>
  <si>
    <t>EMP1080</t>
  </si>
  <si>
    <t>EMP1081</t>
  </si>
  <si>
    <t>user156@example.com</t>
  </si>
  <si>
    <t>EMP1082</t>
  </si>
  <si>
    <t>user104@example.com</t>
  </si>
  <si>
    <t>EMP1083</t>
  </si>
  <si>
    <t>user145@example.com</t>
  </si>
  <si>
    <t>EMP1084</t>
  </si>
  <si>
    <t>EMP1085</t>
  </si>
  <si>
    <t>user197@example.com</t>
  </si>
  <si>
    <t>EMP1086</t>
  </si>
  <si>
    <t>user177@example.com</t>
  </si>
  <si>
    <t>EMP1087</t>
  </si>
  <si>
    <t>EMP1088</t>
  </si>
  <si>
    <t>user48@example.com</t>
  </si>
  <si>
    <t>EMP1089</t>
  </si>
  <si>
    <t>EMP1090</t>
  </si>
  <si>
    <t>EMP1091</t>
  </si>
  <si>
    <t>EMP1092</t>
  </si>
  <si>
    <t>EMP1093</t>
  </si>
  <si>
    <t>user102@example.com</t>
  </si>
  <si>
    <t>EMP1094</t>
  </si>
  <si>
    <t>user148@example.com</t>
  </si>
  <si>
    <t>EMP1095</t>
  </si>
  <si>
    <t>user155@example.com</t>
  </si>
  <si>
    <t>EMP1096</t>
  </si>
  <si>
    <t>user191@example.com</t>
  </si>
  <si>
    <t>EMP1097</t>
  </si>
  <si>
    <t>user113@example.com</t>
  </si>
  <si>
    <t>EMP1098</t>
  </si>
  <si>
    <t>user62@example.com</t>
  </si>
  <si>
    <t>EMP1099</t>
  </si>
  <si>
    <t>user76@example.com</t>
  </si>
  <si>
    <t>EMP1100</t>
  </si>
  <si>
    <t>user40@example.com</t>
  </si>
  <si>
    <t>EMP1101</t>
  </si>
  <si>
    <t>EMP1102</t>
  </si>
  <si>
    <t>user54@example.com</t>
  </si>
  <si>
    <t>EMP1103</t>
  </si>
  <si>
    <t>EMP1104</t>
  </si>
  <si>
    <t>EMP1105</t>
  </si>
  <si>
    <t>EMP1106</t>
  </si>
  <si>
    <t>user189@example.com</t>
  </si>
  <si>
    <t>EMP1107</t>
  </si>
  <si>
    <t>EMP1108</t>
  </si>
  <si>
    <t>user93@example.com</t>
  </si>
  <si>
    <t>EMP1109</t>
  </si>
  <si>
    <t>user174@example.com</t>
  </si>
  <si>
    <t>EMP1110</t>
  </si>
  <si>
    <t>user44@example.com</t>
  </si>
  <si>
    <t>EMP1111</t>
  </si>
  <si>
    <t>EMP1112</t>
  </si>
  <si>
    <t>EMP1113</t>
  </si>
  <si>
    <t>user82@example.com</t>
  </si>
  <si>
    <t>EMP1114</t>
  </si>
  <si>
    <t>EMP1115</t>
  </si>
  <si>
    <t>EMP1116</t>
  </si>
  <si>
    <t>EMP1117</t>
  </si>
  <si>
    <t>user137@example.com</t>
  </si>
  <si>
    <t>EMP1118</t>
  </si>
  <si>
    <t>user23@example.com</t>
  </si>
  <si>
    <t>EMP1119</t>
  </si>
  <si>
    <t>EMP1120</t>
  </si>
  <si>
    <t>user101@example.com</t>
  </si>
  <si>
    <t>EMP1121</t>
  </si>
  <si>
    <t>user132@example.com</t>
  </si>
  <si>
    <t>EMP1122</t>
  </si>
  <si>
    <t>user171@example.com</t>
  </si>
  <si>
    <t>EMP1123</t>
  </si>
  <si>
    <t>EMP1124</t>
  </si>
  <si>
    <t>user75@example.com</t>
  </si>
  <si>
    <t>EMP1125</t>
  </si>
  <si>
    <t>user52@example.com</t>
  </si>
  <si>
    <t>EMP1126</t>
  </si>
  <si>
    <t>user100@example.com</t>
  </si>
  <si>
    <t>EMP1127</t>
  </si>
  <si>
    <t>EMP1128</t>
  </si>
  <si>
    <t>user167@example.com</t>
  </si>
  <si>
    <t>EMP1129</t>
  </si>
  <si>
    <t>EMP1130</t>
  </si>
  <si>
    <t>EMP1131</t>
  </si>
  <si>
    <t>EMP1132</t>
  </si>
  <si>
    <t>user188@example.com</t>
  </si>
  <si>
    <t>EMP1133</t>
  </si>
  <si>
    <t>EMP1134</t>
  </si>
  <si>
    <t>EMP1135</t>
  </si>
  <si>
    <t>EMP1136</t>
  </si>
  <si>
    <t>EMP1137</t>
  </si>
  <si>
    <t>user165@example.com</t>
  </si>
  <si>
    <t>EMP1138</t>
  </si>
  <si>
    <t>EMP1139</t>
  </si>
  <si>
    <t>EMP1140</t>
  </si>
  <si>
    <t>EMP1141</t>
  </si>
  <si>
    <t>EMP1142</t>
  </si>
  <si>
    <t>EMP1143</t>
  </si>
  <si>
    <t>user114@example.com</t>
  </si>
  <si>
    <t>EMP1144</t>
  </si>
  <si>
    <t>user53@example.com</t>
  </si>
  <si>
    <t>EMP1145</t>
  </si>
  <si>
    <t>EMP1146</t>
  </si>
  <si>
    <t>EMP1147</t>
  </si>
  <si>
    <t>user163@example.com</t>
  </si>
  <si>
    <t>EMP1148</t>
  </si>
  <si>
    <t>EMP1149</t>
  </si>
  <si>
    <t>user30@example.com</t>
  </si>
  <si>
    <t>Count</t>
  </si>
  <si>
    <t>Row Labels</t>
  </si>
  <si>
    <t>Average of Salary</t>
  </si>
  <si>
    <t>Grand Total</t>
  </si>
  <si>
    <t>Count of Gender</t>
  </si>
  <si>
    <t>Column Labels</t>
  </si>
  <si>
    <t>Count of Employee ID</t>
  </si>
  <si>
    <t>Average of Performance Rating</t>
  </si>
  <si>
    <t>Count of Country</t>
  </si>
  <si>
    <t>EMPLOYEE DETAILS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</si>
</sst>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scheme val="minor"/>
    </font>
    <font>
      <sz val="48"/>
      <color theme="1" tint="4.9989318521683403E-2"/>
      <name val="Algerian"/>
      <family val="5"/>
    </font>
    <font>
      <b/>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9" tint="0.79998168889431442"/>
        <bgColor theme="9" tint="0.79998168889431442"/>
      </patternFill>
    </fill>
    <fill>
      <patternFill patternType="solid">
        <fgColor theme="0"/>
        <bgColor indexed="64"/>
      </patternFill>
    </fill>
    <fill>
      <patternFill patternType="solid">
        <fgColor theme="4"/>
        <bgColor indexed="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24">
    <xf numFmtId="0" fontId="0" fillId="0" borderId="0" xfId="0"/>
    <xf numFmtId="0" fontId="1" fillId="2" borderId="1" xfId="0" applyFont="1" applyFill="1" applyBorder="1"/>
    <xf numFmtId="0" fontId="1" fillId="2" borderId="2" xfId="0" applyFont="1" applyFill="1" applyBorder="1"/>
    <xf numFmtId="0" fontId="1" fillId="2" borderId="2" xfId="0" applyFont="1" applyFill="1" applyBorder="1" applyAlignment="1">
      <alignment horizontal="center"/>
    </xf>
    <xf numFmtId="0" fontId="1" fillId="2" borderId="3" xfId="0" applyFont="1" applyFill="1" applyBorder="1"/>
    <xf numFmtId="0" fontId="0" fillId="3" borderId="4" xfId="0" applyFill="1" applyBorder="1"/>
    <xf numFmtId="0" fontId="0" fillId="3" borderId="5" xfId="0" applyFill="1" applyBorder="1"/>
    <xf numFmtId="0" fontId="0" fillId="3" borderId="5" xfId="0" applyFill="1" applyBorder="1" applyAlignment="1">
      <alignment horizontal="center"/>
    </xf>
    <xf numFmtId="22" fontId="0" fillId="3" borderId="5" xfId="0" applyNumberFormat="1" applyFill="1" applyBorder="1" applyAlignment="1">
      <alignment horizontal="center"/>
    </xf>
    <xf numFmtId="0" fontId="0" fillId="3" borderId="6" xfId="0" applyFill="1" applyBorder="1"/>
    <xf numFmtId="0" fontId="0" fillId="0" borderId="4" xfId="0" applyBorder="1"/>
    <xf numFmtId="0" fontId="0" fillId="0" borderId="5" xfId="0" applyBorder="1"/>
    <xf numFmtId="0" fontId="0" fillId="0" borderId="5" xfId="0" applyBorder="1" applyAlignment="1">
      <alignment horizontal="center"/>
    </xf>
    <xf numFmtId="22" fontId="0" fillId="0" borderId="5" xfId="0" applyNumberFormat="1" applyBorder="1" applyAlignment="1">
      <alignment horizontal="center"/>
    </xf>
    <xf numFmtId="0" fontId="0" fillId="0" borderId="6" xfId="0" applyBorder="1"/>
    <xf numFmtId="0" fontId="0" fillId="0" borderId="0" xfId="0" pivotButton="1"/>
    <xf numFmtId="0" fontId="0" fillId="0" borderId="0" xfId="0" applyAlignment="1">
      <alignment horizontal="left"/>
    </xf>
    <xf numFmtId="1" fontId="0" fillId="0" borderId="0" xfId="0" applyNumberFormat="1"/>
    <xf numFmtId="0" fontId="2" fillId="4" borderId="0" xfId="0" applyFont="1" applyFill="1" applyAlignment="1">
      <alignment vertical="center"/>
    </xf>
    <xf numFmtId="2" fontId="0" fillId="0" borderId="0" xfId="0" applyNumberFormat="1"/>
    <xf numFmtId="0" fontId="3" fillId="0" borderId="0" xfId="0" applyFont="1"/>
    <xf numFmtId="0" fontId="3" fillId="3" borderId="0" xfId="0" applyFont="1" applyFill="1"/>
    <xf numFmtId="0" fontId="0" fillId="0" borderId="0" xfId="0" applyNumberFormat="1"/>
    <xf numFmtId="0" fontId="2" fillId="5" borderId="0" xfId="0" applyFont="1" applyFill="1" applyAlignment="1">
      <alignment horizontal="center" vertical="center"/>
    </xf>
  </cellXfs>
  <cellStyles count="1">
    <cellStyle name="Normal" xfId="0" builtinId="0"/>
  </cellStyles>
  <dxfs count="7">
    <dxf>
      <numFmt numFmtId="2" formatCode="0.00"/>
    </dxf>
    <dxf>
      <numFmt numFmtId="1" formatCode="0"/>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2060"/>
      </font>
      <fill>
        <patternFill>
          <bgColor rgb="FFFFC7CE"/>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20.xlsx]Pivot Table!PivotTable5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4"/>
                </a:solidFill>
                <a:latin typeface="Algerian" panose="04020705040A02060702" pitchFamily="82" charset="0"/>
              </a:rPr>
              <a:t>GENDER COUNT OF EACH DEPT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Table'!$B$21:$B$22</c:f>
              <c:strCache>
                <c:ptCount val="1"/>
                <c:pt idx="0">
                  <c:v>Finance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Table'!$B$23:$B$26</c:f>
              <c:numCache>
                <c:formatCode>General</c:formatCode>
                <c:ptCount val="3"/>
                <c:pt idx="0">
                  <c:v>8</c:v>
                </c:pt>
                <c:pt idx="1">
                  <c:v>4</c:v>
                </c:pt>
                <c:pt idx="2">
                  <c:v>10</c:v>
                </c:pt>
              </c:numCache>
            </c:numRef>
          </c:val>
          <c:extLst>
            <c:ext xmlns:c16="http://schemas.microsoft.com/office/drawing/2014/chart" uri="{C3380CC4-5D6E-409C-BE32-E72D297353CC}">
              <c16:uniqueId val="{00000000-79E9-4343-928A-B0FD2F9D4726}"/>
            </c:ext>
          </c:extLst>
        </c:ser>
        <c:ser>
          <c:idx val="1"/>
          <c:order val="1"/>
          <c:tx>
            <c:strRef>
              <c:f>'Pivot Table'!$C$21:$C$22</c:f>
              <c:strCache>
                <c:ptCount val="1"/>
                <c:pt idx="0">
                  <c:v>HR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Table'!$C$23:$C$26</c:f>
              <c:numCache>
                <c:formatCode>General</c:formatCode>
                <c:ptCount val="3"/>
                <c:pt idx="0">
                  <c:v>11</c:v>
                </c:pt>
                <c:pt idx="1">
                  <c:v>7</c:v>
                </c:pt>
                <c:pt idx="2">
                  <c:v>6</c:v>
                </c:pt>
              </c:numCache>
            </c:numRef>
          </c:val>
          <c:extLst>
            <c:ext xmlns:c16="http://schemas.microsoft.com/office/drawing/2014/chart" uri="{C3380CC4-5D6E-409C-BE32-E72D297353CC}">
              <c16:uniqueId val="{00000009-79E9-4343-928A-B0FD2F9D4726}"/>
            </c:ext>
          </c:extLst>
        </c:ser>
        <c:ser>
          <c:idx val="2"/>
          <c:order val="2"/>
          <c:tx>
            <c:strRef>
              <c:f>'Pivot Table'!$D$21:$D$22</c:f>
              <c:strCache>
                <c:ptCount val="1"/>
                <c:pt idx="0">
                  <c:v>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Table'!$D$23:$D$26</c:f>
              <c:numCache>
                <c:formatCode>General</c:formatCode>
                <c:ptCount val="3"/>
                <c:pt idx="0">
                  <c:v>5</c:v>
                </c:pt>
                <c:pt idx="1">
                  <c:v>10</c:v>
                </c:pt>
                <c:pt idx="2">
                  <c:v>10</c:v>
                </c:pt>
              </c:numCache>
            </c:numRef>
          </c:val>
          <c:extLst>
            <c:ext xmlns:c16="http://schemas.microsoft.com/office/drawing/2014/chart" uri="{C3380CC4-5D6E-409C-BE32-E72D297353CC}">
              <c16:uniqueId val="{0000000A-79E9-4343-928A-B0FD2F9D4726}"/>
            </c:ext>
          </c:extLst>
        </c:ser>
        <c:ser>
          <c:idx val="3"/>
          <c:order val="3"/>
          <c:tx>
            <c:strRef>
              <c:f>'Pivot Table'!$E$21:$E$22</c:f>
              <c:strCache>
                <c:ptCount val="1"/>
                <c:pt idx="0">
                  <c:v>Marketing</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Table'!$E$23:$E$26</c:f>
              <c:numCache>
                <c:formatCode>General</c:formatCode>
                <c:ptCount val="3"/>
                <c:pt idx="0">
                  <c:v>16</c:v>
                </c:pt>
                <c:pt idx="1">
                  <c:v>20</c:v>
                </c:pt>
                <c:pt idx="2">
                  <c:v>17</c:v>
                </c:pt>
              </c:numCache>
            </c:numRef>
          </c:val>
          <c:extLst>
            <c:ext xmlns:c16="http://schemas.microsoft.com/office/drawing/2014/chart" uri="{C3380CC4-5D6E-409C-BE32-E72D297353CC}">
              <c16:uniqueId val="{0000000B-79E9-4343-928A-B0FD2F9D4726}"/>
            </c:ext>
          </c:extLst>
        </c:ser>
        <c:ser>
          <c:idx val="4"/>
          <c:order val="4"/>
          <c:tx>
            <c:strRef>
              <c:f>'Pivot Table'!$F$21:$F$22</c:f>
              <c:strCache>
                <c:ptCount val="1"/>
                <c:pt idx="0">
                  <c:v>Sales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Table'!$F$23:$F$26</c:f>
              <c:numCache>
                <c:formatCode>General</c:formatCode>
                <c:ptCount val="3"/>
                <c:pt idx="0">
                  <c:v>9</c:v>
                </c:pt>
                <c:pt idx="1">
                  <c:v>10</c:v>
                </c:pt>
                <c:pt idx="2">
                  <c:v>7</c:v>
                </c:pt>
              </c:numCache>
            </c:numRef>
          </c:val>
          <c:extLst>
            <c:ext xmlns:c16="http://schemas.microsoft.com/office/drawing/2014/chart" uri="{C3380CC4-5D6E-409C-BE32-E72D297353CC}">
              <c16:uniqueId val="{0000000C-79E9-4343-928A-B0FD2F9D4726}"/>
            </c:ext>
          </c:extLst>
        </c:ser>
        <c:dLbls>
          <c:dLblPos val="outEnd"/>
          <c:showLegendKey val="0"/>
          <c:showVal val="1"/>
          <c:showCatName val="0"/>
          <c:showSerName val="0"/>
          <c:showPercent val="0"/>
          <c:showBubbleSize val="0"/>
        </c:dLbls>
        <c:gapWidth val="115"/>
        <c:overlap val="-20"/>
        <c:axId val="1763766111"/>
        <c:axId val="1763762271"/>
      </c:barChart>
      <c:catAx>
        <c:axId val="17637661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3762271"/>
        <c:crosses val="autoZero"/>
        <c:auto val="1"/>
        <c:lblAlgn val="ctr"/>
        <c:lblOffset val="100"/>
        <c:noMultiLvlLbl val="0"/>
      </c:catAx>
      <c:valAx>
        <c:axId val="176376227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376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20.xlsx]Pivot Table!PivotTable6</c:name>
    <c:fmtId val="9"/>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solidFill>
                  <a:schemeClr val="accent4"/>
                </a:solidFill>
                <a:latin typeface="Algerian" panose="04020705040A02060702" pitchFamily="82" charset="0"/>
              </a:rPr>
              <a:t>COUNTRY</a:t>
            </a:r>
            <a:r>
              <a:rPr lang="en-US" sz="1400" baseline="0">
                <a:solidFill>
                  <a:schemeClr val="accent4"/>
                </a:solidFill>
                <a:latin typeface="Algerian" panose="04020705040A02060702" pitchFamily="82" charset="0"/>
              </a:rPr>
              <a:t> VS PERFORMANCE RATING</a:t>
            </a:r>
            <a:endParaRPr lang="en-US" sz="1400">
              <a:solidFill>
                <a:schemeClr val="accent4"/>
              </a:solidFill>
              <a:latin typeface="Algerian" panose="04020705040A02060702" pitchFamily="82" charset="0"/>
            </a:endParaRPr>
          </a:p>
        </c:rich>
      </c:tx>
      <c:layout>
        <c:manualLayout>
          <c:xMode val="edge"/>
          <c:yMode val="edge"/>
          <c:x val="0.17242326082507681"/>
          <c:y val="8.5034745578254717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Table'!$B$35:$B$36</c:f>
              <c:strCache>
                <c:ptCount val="1"/>
                <c:pt idx="0">
                  <c:v>1</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F28-469B-AB99-7C2BB532A4AB}"/>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F28-469B-AB99-7C2BB532A4AB}"/>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F28-469B-AB99-7C2BB532A4AB}"/>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F28-469B-AB99-7C2BB532A4AB}"/>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F28-469B-AB99-7C2BB532A4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Table'!$B$37:$B$41</c:f>
              <c:numCache>
                <c:formatCode>General</c:formatCode>
                <c:ptCount val="5"/>
                <c:pt idx="0">
                  <c:v>10</c:v>
                </c:pt>
                <c:pt idx="1">
                  <c:v>10</c:v>
                </c:pt>
                <c:pt idx="2">
                  <c:v>21</c:v>
                </c:pt>
                <c:pt idx="3">
                  <c:v>8</c:v>
                </c:pt>
                <c:pt idx="4">
                  <c:v>6</c:v>
                </c:pt>
              </c:numCache>
            </c:numRef>
          </c:val>
          <c:extLst>
            <c:ext xmlns:c16="http://schemas.microsoft.com/office/drawing/2014/chart" uri="{C3380CC4-5D6E-409C-BE32-E72D297353CC}">
              <c16:uniqueId val="{00000032-58B2-4D6C-B28D-05A8E0FA91C6}"/>
            </c:ext>
          </c:extLst>
        </c:ser>
        <c:ser>
          <c:idx val="1"/>
          <c:order val="1"/>
          <c:tx>
            <c:strRef>
              <c:f>'Pivot Table'!$C$35:$C$36</c:f>
              <c:strCache>
                <c:ptCount val="1"/>
                <c:pt idx="0">
                  <c:v>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F28-469B-AB99-7C2BB532A4AB}"/>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F28-469B-AB99-7C2BB532A4AB}"/>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5F28-469B-AB99-7C2BB532A4AB}"/>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5F28-469B-AB99-7C2BB532A4AB}"/>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F28-469B-AB99-7C2BB532A4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Table'!$C$37:$C$41</c:f>
              <c:numCache>
                <c:formatCode>General</c:formatCode>
                <c:ptCount val="5"/>
                <c:pt idx="0">
                  <c:v>2</c:v>
                </c:pt>
                <c:pt idx="1">
                  <c:v>2</c:v>
                </c:pt>
                <c:pt idx="2">
                  <c:v>10</c:v>
                </c:pt>
                <c:pt idx="3">
                  <c:v>3</c:v>
                </c:pt>
                <c:pt idx="4">
                  <c:v>6</c:v>
                </c:pt>
              </c:numCache>
            </c:numRef>
          </c:val>
          <c:extLst>
            <c:ext xmlns:c16="http://schemas.microsoft.com/office/drawing/2014/chart" uri="{C3380CC4-5D6E-409C-BE32-E72D297353CC}">
              <c16:uniqueId val="{00000037-58B2-4D6C-B28D-05A8E0FA91C6}"/>
            </c:ext>
          </c:extLst>
        </c:ser>
        <c:ser>
          <c:idx val="2"/>
          <c:order val="2"/>
          <c:tx>
            <c:strRef>
              <c:f>'Pivot Table'!$D$35:$D$36</c:f>
              <c:strCache>
                <c:ptCount val="1"/>
                <c:pt idx="0">
                  <c:v>3</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F28-469B-AB99-7C2BB532A4AB}"/>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F28-469B-AB99-7C2BB532A4AB}"/>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5F28-469B-AB99-7C2BB532A4AB}"/>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5F28-469B-AB99-7C2BB532A4AB}"/>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5F28-469B-AB99-7C2BB532A4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Table'!$D$37:$D$41</c:f>
              <c:numCache>
                <c:formatCode>General</c:formatCode>
                <c:ptCount val="5"/>
                <c:pt idx="0">
                  <c:v>3</c:v>
                </c:pt>
                <c:pt idx="1">
                  <c:v>6</c:v>
                </c:pt>
                <c:pt idx="2">
                  <c:v>10</c:v>
                </c:pt>
                <c:pt idx="3">
                  <c:v>7</c:v>
                </c:pt>
                <c:pt idx="4">
                  <c:v>4</c:v>
                </c:pt>
              </c:numCache>
            </c:numRef>
          </c:val>
          <c:extLst>
            <c:ext xmlns:c16="http://schemas.microsoft.com/office/drawing/2014/chart" uri="{C3380CC4-5D6E-409C-BE32-E72D297353CC}">
              <c16:uniqueId val="{00000038-58B2-4D6C-B28D-05A8E0FA91C6}"/>
            </c:ext>
          </c:extLst>
        </c:ser>
        <c:ser>
          <c:idx val="3"/>
          <c:order val="3"/>
          <c:tx>
            <c:strRef>
              <c:f>'Pivot Table'!$E$35:$E$36</c:f>
              <c:strCache>
                <c:ptCount val="1"/>
                <c:pt idx="0">
                  <c:v>4</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F28-469B-AB99-7C2BB532A4AB}"/>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F28-469B-AB99-7C2BB532A4AB}"/>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F28-469B-AB99-7C2BB532A4AB}"/>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5F28-469B-AB99-7C2BB532A4AB}"/>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5F28-469B-AB99-7C2BB532A4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Table'!$E$37:$E$41</c:f>
              <c:numCache>
                <c:formatCode>General</c:formatCode>
                <c:ptCount val="5"/>
                <c:pt idx="0">
                  <c:v>1</c:v>
                </c:pt>
                <c:pt idx="1">
                  <c:v>2</c:v>
                </c:pt>
                <c:pt idx="2">
                  <c:v>8</c:v>
                </c:pt>
                <c:pt idx="3">
                  <c:v>3</c:v>
                </c:pt>
                <c:pt idx="4">
                  <c:v>3</c:v>
                </c:pt>
              </c:numCache>
            </c:numRef>
          </c:val>
          <c:extLst>
            <c:ext xmlns:c16="http://schemas.microsoft.com/office/drawing/2014/chart" uri="{C3380CC4-5D6E-409C-BE32-E72D297353CC}">
              <c16:uniqueId val="{00000039-58B2-4D6C-B28D-05A8E0FA91C6}"/>
            </c:ext>
          </c:extLst>
        </c:ser>
        <c:ser>
          <c:idx val="4"/>
          <c:order val="4"/>
          <c:tx>
            <c:strRef>
              <c:f>'Pivot Table'!$F$35:$F$36</c:f>
              <c:strCache>
                <c:ptCount val="1"/>
                <c:pt idx="0">
                  <c:v>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5F28-469B-AB99-7C2BB532A4AB}"/>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F28-469B-AB99-7C2BB532A4AB}"/>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F28-469B-AB99-7C2BB532A4AB}"/>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F28-469B-AB99-7C2BB532A4AB}"/>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5F28-469B-AB99-7C2BB532A4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Table'!$F$37:$F$41</c:f>
              <c:numCache>
                <c:formatCode>General</c:formatCode>
                <c:ptCount val="5"/>
                <c:pt idx="0">
                  <c:v>3</c:v>
                </c:pt>
                <c:pt idx="1">
                  <c:v>3</c:v>
                </c:pt>
                <c:pt idx="2">
                  <c:v>10</c:v>
                </c:pt>
                <c:pt idx="3">
                  <c:v>4</c:v>
                </c:pt>
                <c:pt idx="4">
                  <c:v>5</c:v>
                </c:pt>
              </c:numCache>
            </c:numRef>
          </c:val>
          <c:extLst>
            <c:ext xmlns:c16="http://schemas.microsoft.com/office/drawing/2014/chart" uri="{C3380CC4-5D6E-409C-BE32-E72D297353CC}">
              <c16:uniqueId val="{0000003A-58B2-4D6C-B28D-05A8E0FA91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20.xlsx]Pivot Table!PivotTable4</c:name>
    <c:fmtId val="4"/>
  </c:pivotSource>
  <c:chart>
    <c:title>
      <c:tx>
        <c:rich>
          <a:bodyPr rot="0" spcFirstLastPara="1" vertOverflow="ellipsis" vert="horz" wrap="square" anchor="ctr" anchorCtr="1"/>
          <a:lstStyle/>
          <a:p>
            <a:pPr>
              <a:defRPr sz="1400" b="1" i="0" u="none" strike="noStrike" kern="1200" cap="none" baseline="0">
                <a:solidFill>
                  <a:schemeClr val="accent4"/>
                </a:solidFill>
                <a:latin typeface="Algerian" panose="04020705040A02060702" pitchFamily="82" charset="0"/>
                <a:ea typeface="+mn-ea"/>
                <a:cs typeface="+mn-cs"/>
              </a:defRPr>
            </a:pPr>
            <a:r>
              <a:rPr lang="en-US">
                <a:solidFill>
                  <a:schemeClr val="accent4"/>
                </a:solidFill>
                <a:latin typeface="Algerian" panose="04020705040A02060702" pitchFamily="82" charset="0"/>
              </a:rPr>
              <a:t>DEPARTMENT</a:t>
            </a:r>
            <a:r>
              <a:rPr lang="en-US" baseline="0">
                <a:solidFill>
                  <a:schemeClr val="accent4"/>
                </a:solidFill>
                <a:latin typeface="Algerian" panose="04020705040A02060702" pitchFamily="82" charset="0"/>
              </a:rPr>
              <a:t> VS AVERAGE SALARY</a:t>
            </a:r>
            <a:endParaRPr lang="en-US">
              <a:solidFill>
                <a:schemeClr val="accent4"/>
              </a:solidFill>
              <a:latin typeface="Algerian" panose="04020705040A02060702" pitchFamily="82" charset="0"/>
            </a:endParaRPr>
          </a:p>
        </c:rich>
      </c:tx>
      <c:layout>
        <c:manualLayout>
          <c:xMode val="edge"/>
          <c:yMode val="edge"/>
          <c:x val="0.22248600174978125"/>
          <c:y val="3.601633129192184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accent4"/>
              </a:solidFill>
              <a:latin typeface="Algerian" panose="04020705040A02060702" pitchFamily="82" charset="0"/>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Table'!$A$4:$A$9</c:f>
              <c:strCache>
                <c:ptCount val="5"/>
                <c:pt idx="0">
                  <c:v>Finance</c:v>
                </c:pt>
                <c:pt idx="1">
                  <c:v>HR</c:v>
                </c:pt>
                <c:pt idx="2">
                  <c:v>IT</c:v>
                </c:pt>
                <c:pt idx="3">
                  <c:v>Marketing</c:v>
                </c:pt>
                <c:pt idx="4">
                  <c:v>Sales</c:v>
                </c:pt>
              </c:strCache>
            </c:strRef>
          </c:cat>
          <c:val>
            <c:numRef>
              <c:f>'Pivot Table'!$B$4:$B$9</c:f>
              <c:numCache>
                <c:formatCode>General</c:formatCode>
                <c:ptCount val="5"/>
                <c:pt idx="0">
                  <c:v>65604.590909090912</c:v>
                </c:pt>
                <c:pt idx="1">
                  <c:v>67834.583333333328</c:v>
                </c:pt>
                <c:pt idx="2">
                  <c:v>66157.52</c:v>
                </c:pt>
                <c:pt idx="3">
                  <c:v>65071.981132075474</c:v>
                </c:pt>
                <c:pt idx="4">
                  <c:v>67929.076923076922</c:v>
                </c:pt>
              </c:numCache>
            </c:numRef>
          </c:val>
          <c:smooth val="0"/>
          <c:extLst>
            <c:ext xmlns:c16="http://schemas.microsoft.com/office/drawing/2014/chart" uri="{C3380CC4-5D6E-409C-BE32-E72D297353CC}">
              <c16:uniqueId val="{00000000-0F4E-4389-AB62-E7945DD35499}"/>
            </c:ext>
          </c:extLst>
        </c:ser>
        <c:dLbls>
          <c:showLegendKey val="0"/>
          <c:showVal val="0"/>
          <c:showCatName val="0"/>
          <c:showSerName val="0"/>
          <c:showPercent val="0"/>
          <c:showBubbleSize val="0"/>
        </c:dLbls>
        <c:marker val="1"/>
        <c:smooth val="0"/>
        <c:axId val="1762643871"/>
        <c:axId val="1762647711"/>
      </c:lineChart>
      <c:catAx>
        <c:axId val="17626438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2647711"/>
        <c:crosses val="autoZero"/>
        <c:auto val="1"/>
        <c:lblAlgn val="ctr"/>
        <c:lblOffset val="100"/>
        <c:noMultiLvlLbl val="0"/>
      </c:catAx>
      <c:valAx>
        <c:axId val="17626477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2643871"/>
        <c:crosses val="autoZero"/>
        <c:crossBetween val="between"/>
      </c:valAx>
      <c:dTable>
        <c:showHorzBorder val="1"/>
        <c:showVertBorder val="1"/>
        <c:showOutline val="1"/>
        <c:showKeys val="0"/>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20.xlsx]Pivot Table!PivotTable8</c:name>
    <c:fmtId val="18"/>
  </c:pivotSource>
  <c:chart>
    <c:title>
      <c:tx>
        <c:rich>
          <a:bodyPr rot="0" spcFirstLastPara="1" vertOverflow="ellipsis" vert="horz" wrap="square" anchor="ctr" anchorCtr="1"/>
          <a:lstStyle/>
          <a:p>
            <a:pPr>
              <a:defRPr sz="1600" b="1" i="0" u="none" strike="noStrike" kern="1200" spc="100" baseline="0">
                <a:solidFill>
                  <a:schemeClr val="accent4"/>
                </a:solidFill>
                <a:effectLst>
                  <a:outerShdw blurRad="50800" dist="38100" dir="5400000" algn="t" rotWithShape="0">
                    <a:prstClr val="black">
                      <a:alpha val="40000"/>
                    </a:prstClr>
                  </a:outerShdw>
                </a:effectLst>
                <a:latin typeface="Algerian" panose="04020705040A02060702" pitchFamily="82" charset="0"/>
                <a:ea typeface="+mn-ea"/>
                <a:cs typeface="+mn-cs"/>
              </a:defRPr>
            </a:pPr>
            <a:r>
              <a:rPr lang="en-US">
                <a:solidFill>
                  <a:schemeClr val="accent4"/>
                </a:solidFill>
                <a:latin typeface="Algerian" panose="04020705040A02060702" pitchFamily="82" charset="0"/>
              </a:rPr>
              <a:t>COUNTRY WISE AVG SALARY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4"/>
              </a:solidFill>
              <a:effectLst>
                <a:outerShdw blurRad="50800" dist="38100" dir="5400000" algn="t" rotWithShape="0">
                  <a:prstClr val="black">
                    <a:alpha val="40000"/>
                  </a:prstClr>
                </a:outerShdw>
              </a:effectLst>
              <a:latin typeface="Algerian" panose="04020705040A02060702" pitchFamily="82"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849452076281117"/>
          <c:y val="0.24618452787477677"/>
          <c:w val="0.57668616969537301"/>
          <c:h val="0.70430354044602095"/>
        </c:manualLayout>
      </c:layout>
      <c:doughnutChart>
        <c:varyColors val="1"/>
        <c:ser>
          <c:idx val="0"/>
          <c:order val="0"/>
          <c:tx>
            <c:strRef>
              <c:f>'Pivot Table'!$B$72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8B5-425B-B3D7-8B81D230BFCC}"/>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8B5-425B-B3D7-8B81D230BFCC}"/>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8B5-425B-B3D7-8B81D230BFCC}"/>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8B5-425B-B3D7-8B81D230BFCC}"/>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8B5-425B-B3D7-8B81D230BFCC}"/>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Table'!$A$73:$A$77</c:f>
              <c:strCache>
                <c:ptCount val="5"/>
                <c:pt idx="0">
                  <c:v>Australia</c:v>
                </c:pt>
                <c:pt idx="1">
                  <c:v>Germany</c:v>
                </c:pt>
                <c:pt idx="2">
                  <c:v>India</c:v>
                </c:pt>
                <c:pt idx="3">
                  <c:v>UK</c:v>
                </c:pt>
                <c:pt idx="4">
                  <c:v>USA</c:v>
                </c:pt>
              </c:strCache>
            </c:strRef>
          </c:cat>
          <c:val>
            <c:numRef>
              <c:f>'Pivot Table'!$B$73:$B$77</c:f>
              <c:numCache>
                <c:formatCode>0</c:formatCode>
                <c:ptCount val="5"/>
                <c:pt idx="0">
                  <c:v>61609.84210526316</c:v>
                </c:pt>
                <c:pt idx="1">
                  <c:v>65861.434782608689</c:v>
                </c:pt>
                <c:pt idx="2">
                  <c:v>68764.677966101692</c:v>
                </c:pt>
                <c:pt idx="3">
                  <c:v>62118</c:v>
                </c:pt>
                <c:pt idx="4">
                  <c:v>68532.25</c:v>
                </c:pt>
              </c:numCache>
            </c:numRef>
          </c:val>
          <c:extLst>
            <c:ext xmlns:c16="http://schemas.microsoft.com/office/drawing/2014/chart" uri="{C3380CC4-5D6E-409C-BE32-E72D297353CC}">
              <c16:uniqueId val="{0000000A-D9D5-49BE-9487-DCE365E2FEE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9866320323696915"/>
          <c:y val="0.16139241061213253"/>
          <c:w val="0.52915764947261013"/>
          <c:h val="5.34445412573384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20.xlsx]Pivot Table!PivotTable9</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4"/>
                </a:solidFill>
                <a:latin typeface="Algerian" panose="04020705040A02060702" pitchFamily="82" charset="0"/>
              </a:rPr>
              <a:t>COUNT</a:t>
            </a:r>
            <a:r>
              <a:rPr lang="en-US" baseline="0">
                <a:solidFill>
                  <a:schemeClr val="accent4"/>
                </a:solidFill>
                <a:latin typeface="Algerian" panose="04020705040A02060702" pitchFamily="82" charset="0"/>
              </a:rPr>
              <a:t> OF EMP COUNTRY VS DEPT</a:t>
            </a:r>
            <a:endParaRPr lang="en-US">
              <a:solidFill>
                <a:schemeClr val="accent4"/>
              </a:solidFill>
              <a:latin typeface="Algerian" panose="04020705040A02060702" pitchFamily="82" charset="0"/>
            </a:endParaRPr>
          </a:p>
        </c:rich>
      </c:tx>
      <c:layout>
        <c:manualLayout>
          <c:xMode val="edge"/>
          <c:yMode val="edge"/>
          <c:x val="0.17410001070942568"/>
          <c:y val="3.762487804207720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19049309529414E-2"/>
          <c:y val="9.3035412458259456E-2"/>
          <c:w val="0.93194859245769057"/>
          <c:h val="0.84344532849624165"/>
        </c:manualLayout>
      </c:layout>
      <c:barChart>
        <c:barDir val="col"/>
        <c:grouping val="stacked"/>
        <c:varyColors val="0"/>
        <c:ser>
          <c:idx val="0"/>
          <c:order val="0"/>
          <c:tx>
            <c:strRef>
              <c:f>'Pivot Table'!$B$94:$B$95</c:f>
              <c:strCache>
                <c:ptCount val="1"/>
                <c:pt idx="0">
                  <c:v>Finance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Table'!$B$96:$B$100</c:f>
              <c:numCache>
                <c:formatCode>General</c:formatCode>
                <c:ptCount val="5"/>
                <c:pt idx="0">
                  <c:v>2</c:v>
                </c:pt>
                <c:pt idx="1">
                  <c:v>1</c:v>
                </c:pt>
                <c:pt idx="2">
                  <c:v>11</c:v>
                </c:pt>
                <c:pt idx="3">
                  <c:v>5</c:v>
                </c:pt>
                <c:pt idx="4">
                  <c:v>3</c:v>
                </c:pt>
              </c:numCache>
            </c:numRef>
          </c:val>
          <c:extLst>
            <c:ext xmlns:c16="http://schemas.microsoft.com/office/drawing/2014/chart" uri="{C3380CC4-5D6E-409C-BE32-E72D297353CC}">
              <c16:uniqueId val="{00000000-3147-4FF9-8FE4-DEA3ECD1C494}"/>
            </c:ext>
          </c:extLst>
        </c:ser>
        <c:ser>
          <c:idx val="1"/>
          <c:order val="1"/>
          <c:tx>
            <c:strRef>
              <c:f>'Pivot Table'!$C$94:$C$95</c:f>
              <c:strCache>
                <c:ptCount val="1"/>
                <c:pt idx="0">
                  <c:v>HR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Table'!$C$96:$C$100</c:f>
              <c:numCache>
                <c:formatCode>General</c:formatCode>
                <c:ptCount val="5"/>
                <c:pt idx="0">
                  <c:v>1</c:v>
                </c:pt>
                <c:pt idx="1">
                  <c:v>9</c:v>
                </c:pt>
                <c:pt idx="2">
                  <c:v>7</c:v>
                </c:pt>
                <c:pt idx="3">
                  <c:v>4</c:v>
                </c:pt>
                <c:pt idx="4">
                  <c:v>3</c:v>
                </c:pt>
              </c:numCache>
            </c:numRef>
          </c:val>
          <c:extLst>
            <c:ext xmlns:c16="http://schemas.microsoft.com/office/drawing/2014/chart" uri="{C3380CC4-5D6E-409C-BE32-E72D297353CC}">
              <c16:uniqueId val="{00000009-3147-4FF9-8FE4-DEA3ECD1C494}"/>
            </c:ext>
          </c:extLst>
        </c:ser>
        <c:ser>
          <c:idx val="2"/>
          <c:order val="2"/>
          <c:tx>
            <c:strRef>
              <c:f>'Pivot Table'!$D$94:$D$95</c:f>
              <c:strCache>
                <c:ptCount val="1"/>
                <c:pt idx="0">
                  <c:v>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Table'!$D$96:$D$100</c:f>
              <c:numCache>
                <c:formatCode>General</c:formatCode>
                <c:ptCount val="5"/>
                <c:pt idx="0">
                  <c:v>1</c:v>
                </c:pt>
                <c:pt idx="1">
                  <c:v>4</c:v>
                </c:pt>
                <c:pt idx="2">
                  <c:v>11</c:v>
                </c:pt>
                <c:pt idx="3">
                  <c:v>4</c:v>
                </c:pt>
                <c:pt idx="4">
                  <c:v>5</c:v>
                </c:pt>
              </c:numCache>
            </c:numRef>
          </c:val>
          <c:extLst>
            <c:ext xmlns:c16="http://schemas.microsoft.com/office/drawing/2014/chart" uri="{C3380CC4-5D6E-409C-BE32-E72D297353CC}">
              <c16:uniqueId val="{0000000A-3147-4FF9-8FE4-DEA3ECD1C494}"/>
            </c:ext>
          </c:extLst>
        </c:ser>
        <c:ser>
          <c:idx val="3"/>
          <c:order val="3"/>
          <c:tx>
            <c:strRef>
              <c:f>'Pivot Table'!$E$94:$E$95</c:f>
              <c:strCache>
                <c:ptCount val="1"/>
                <c:pt idx="0">
                  <c:v>Marketing</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Table'!$E$96:$E$100</c:f>
              <c:numCache>
                <c:formatCode>General</c:formatCode>
                <c:ptCount val="5"/>
                <c:pt idx="0">
                  <c:v>9</c:v>
                </c:pt>
                <c:pt idx="1">
                  <c:v>6</c:v>
                </c:pt>
                <c:pt idx="2">
                  <c:v>20</c:v>
                </c:pt>
                <c:pt idx="3">
                  <c:v>11</c:v>
                </c:pt>
                <c:pt idx="4">
                  <c:v>7</c:v>
                </c:pt>
              </c:numCache>
            </c:numRef>
          </c:val>
          <c:extLst>
            <c:ext xmlns:c16="http://schemas.microsoft.com/office/drawing/2014/chart" uri="{C3380CC4-5D6E-409C-BE32-E72D297353CC}">
              <c16:uniqueId val="{0000000B-3147-4FF9-8FE4-DEA3ECD1C494}"/>
            </c:ext>
          </c:extLst>
        </c:ser>
        <c:ser>
          <c:idx val="4"/>
          <c:order val="4"/>
          <c:tx>
            <c:strRef>
              <c:f>'Pivot Table'!$F$94:$F$95</c:f>
              <c:strCache>
                <c:ptCount val="1"/>
                <c:pt idx="0">
                  <c:v>Sales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Table'!$F$96:$F$100</c:f>
              <c:numCache>
                <c:formatCode>General</c:formatCode>
                <c:ptCount val="5"/>
                <c:pt idx="0">
                  <c:v>6</c:v>
                </c:pt>
                <c:pt idx="1">
                  <c:v>3</c:v>
                </c:pt>
                <c:pt idx="2">
                  <c:v>10</c:v>
                </c:pt>
                <c:pt idx="3">
                  <c:v>1</c:v>
                </c:pt>
                <c:pt idx="4">
                  <c:v>6</c:v>
                </c:pt>
              </c:numCache>
            </c:numRef>
          </c:val>
          <c:extLst>
            <c:ext xmlns:c16="http://schemas.microsoft.com/office/drawing/2014/chart" uri="{C3380CC4-5D6E-409C-BE32-E72D297353CC}">
              <c16:uniqueId val="{0000000C-3147-4FF9-8FE4-DEA3ECD1C494}"/>
            </c:ext>
          </c:extLst>
        </c:ser>
        <c:dLbls>
          <c:dLblPos val="ctr"/>
          <c:showLegendKey val="0"/>
          <c:showVal val="1"/>
          <c:showCatName val="0"/>
          <c:showSerName val="0"/>
          <c:showPercent val="0"/>
          <c:showBubbleSize val="0"/>
        </c:dLbls>
        <c:gapWidth val="150"/>
        <c:overlap val="100"/>
        <c:axId val="769916015"/>
        <c:axId val="769904495"/>
      </c:barChart>
      <c:catAx>
        <c:axId val="7699160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9904495"/>
        <c:crosses val="autoZero"/>
        <c:auto val="1"/>
        <c:lblAlgn val="ctr"/>
        <c:lblOffset val="100"/>
        <c:noMultiLvlLbl val="0"/>
      </c:catAx>
      <c:valAx>
        <c:axId val="7699044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9916015"/>
        <c:crosses val="autoZero"/>
        <c:crossBetween val="between"/>
      </c:valAx>
      <c:spPr>
        <a:noFill/>
        <a:ln>
          <a:noFill/>
        </a:ln>
        <a:effectLst/>
      </c:spPr>
    </c:plotArea>
    <c:legend>
      <c:legendPos val="t"/>
      <c:layout>
        <c:manualLayout>
          <c:xMode val="edge"/>
          <c:yMode val="edge"/>
          <c:x val="0.29887612336415437"/>
          <c:y val="0.13535611713457285"/>
          <c:w val="0.44117699462095628"/>
          <c:h val="5.8900935812342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20.xlsx]Pivot Table!PivotTable3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sng">
                <a:solidFill>
                  <a:schemeClr val="accent4"/>
                </a:solidFill>
                <a:latin typeface="Algerian" panose="04020705040A02060702" pitchFamily="82" charset="0"/>
              </a:rPr>
              <a:t>DEPT VS AVG</a:t>
            </a:r>
            <a:r>
              <a:rPr lang="en-US" u="sng" baseline="0">
                <a:solidFill>
                  <a:schemeClr val="accent4"/>
                </a:solidFill>
                <a:latin typeface="Algerian" panose="04020705040A02060702" pitchFamily="82" charset="0"/>
              </a:rPr>
              <a:t> PERFORMANCE RATING</a:t>
            </a:r>
            <a:endParaRPr lang="en-US" u="sng">
              <a:solidFill>
                <a:schemeClr val="accent4"/>
              </a:solidFill>
              <a:latin typeface="Algerian" panose="04020705040A02060702" pitchFamily="82" charset="0"/>
            </a:endParaRPr>
          </a:p>
        </c:rich>
      </c:tx>
      <c:layout>
        <c:manualLayout>
          <c:xMode val="edge"/>
          <c:yMode val="edge"/>
          <c:x val="0.20629696579756324"/>
          <c:y val="7.474441171917160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286640726329441E-2"/>
          <c:y val="0.26674447189077349"/>
          <c:w val="0.78820572525710553"/>
          <c:h val="0.62977290861375279"/>
        </c:manualLayout>
      </c:layout>
      <c:pie3DChart>
        <c:varyColors val="1"/>
        <c:ser>
          <c:idx val="0"/>
          <c:order val="0"/>
          <c:tx>
            <c:strRef>
              <c:f>'Pivot Table'!$J$57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ECB-455C-B536-17CBFD296E78}"/>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ECB-455C-B536-17CBFD296E78}"/>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ECB-455C-B536-17CBFD296E78}"/>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BECB-455C-B536-17CBFD296E78}"/>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BECB-455C-B536-17CBFD296E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Table'!$I$58:$I$62</c:f>
              <c:strCache>
                <c:ptCount val="5"/>
                <c:pt idx="0">
                  <c:v>Finance</c:v>
                </c:pt>
                <c:pt idx="1">
                  <c:v>HR</c:v>
                </c:pt>
                <c:pt idx="2">
                  <c:v>IT</c:v>
                </c:pt>
                <c:pt idx="3">
                  <c:v>Marketing</c:v>
                </c:pt>
                <c:pt idx="4">
                  <c:v>Sales</c:v>
                </c:pt>
              </c:strCache>
            </c:strRef>
          </c:cat>
          <c:val>
            <c:numRef>
              <c:f>'Pivot Table'!$J$58:$J$62</c:f>
              <c:numCache>
                <c:formatCode>0.00</c:formatCode>
                <c:ptCount val="5"/>
                <c:pt idx="0">
                  <c:v>2.3636363636363638</c:v>
                </c:pt>
                <c:pt idx="1">
                  <c:v>2.4166666666666665</c:v>
                </c:pt>
                <c:pt idx="2">
                  <c:v>2.4</c:v>
                </c:pt>
                <c:pt idx="3">
                  <c:v>2.8301886792452828</c:v>
                </c:pt>
                <c:pt idx="4">
                  <c:v>2.4615384615384617</c:v>
                </c:pt>
              </c:numCache>
            </c:numRef>
          </c:val>
          <c:extLst>
            <c:ext xmlns:c16="http://schemas.microsoft.com/office/drawing/2014/chart" uri="{C3380CC4-5D6E-409C-BE32-E72D297353CC}">
              <c16:uniqueId val="{0000000A-CCD3-450B-B204-5ED76576DB69}"/>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20.xlsx]Pivot Table!PivotTable4</c:name>
    <c:fmtId val="10"/>
  </c:pivotSource>
  <c:chart>
    <c:title>
      <c:tx>
        <c:rich>
          <a:bodyPr rot="0" spcFirstLastPara="1" vertOverflow="ellipsis" vert="horz" wrap="square" anchor="ctr" anchorCtr="1"/>
          <a:lstStyle/>
          <a:p>
            <a:pPr>
              <a:defRPr sz="1400" b="1" i="0" u="none" strike="noStrike" kern="1200" cap="none" baseline="0">
                <a:solidFill>
                  <a:schemeClr val="accent4"/>
                </a:solidFill>
                <a:latin typeface="Algerian" panose="04020705040A02060702" pitchFamily="82" charset="0"/>
                <a:ea typeface="+mn-ea"/>
                <a:cs typeface="+mn-cs"/>
              </a:defRPr>
            </a:pPr>
            <a:r>
              <a:rPr lang="en-US">
                <a:solidFill>
                  <a:schemeClr val="accent4"/>
                </a:solidFill>
                <a:latin typeface="Algerian" panose="04020705040A02060702" pitchFamily="82" charset="0"/>
              </a:rPr>
              <a:t>DEPARTMENT</a:t>
            </a:r>
            <a:r>
              <a:rPr lang="en-US" baseline="0">
                <a:solidFill>
                  <a:schemeClr val="accent4"/>
                </a:solidFill>
                <a:latin typeface="Algerian" panose="04020705040A02060702" pitchFamily="82" charset="0"/>
              </a:rPr>
              <a:t> VS AVERAGE SALARY</a:t>
            </a:r>
            <a:endParaRPr lang="en-US">
              <a:solidFill>
                <a:schemeClr val="accent4"/>
              </a:solidFill>
              <a:latin typeface="Algerian" panose="04020705040A02060702" pitchFamily="82" charset="0"/>
            </a:endParaRPr>
          </a:p>
        </c:rich>
      </c:tx>
      <c:layout>
        <c:manualLayout>
          <c:xMode val="edge"/>
          <c:yMode val="edge"/>
          <c:x val="0.22804155730533684"/>
          <c:y val="3.601633129192184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accent4"/>
              </a:solidFill>
              <a:latin typeface="Algerian" panose="04020705040A02060702" pitchFamily="82" charset="0"/>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Table'!$A$4:$A$9</c:f>
              <c:strCache>
                <c:ptCount val="5"/>
                <c:pt idx="0">
                  <c:v>Finance</c:v>
                </c:pt>
                <c:pt idx="1">
                  <c:v>HR</c:v>
                </c:pt>
                <c:pt idx="2">
                  <c:v>IT</c:v>
                </c:pt>
                <c:pt idx="3">
                  <c:v>Marketing</c:v>
                </c:pt>
                <c:pt idx="4">
                  <c:v>Sales</c:v>
                </c:pt>
              </c:strCache>
            </c:strRef>
          </c:cat>
          <c:val>
            <c:numRef>
              <c:f>'Pivot Table'!$B$4:$B$9</c:f>
              <c:numCache>
                <c:formatCode>General</c:formatCode>
                <c:ptCount val="5"/>
                <c:pt idx="0">
                  <c:v>65604.590909090912</c:v>
                </c:pt>
                <c:pt idx="1">
                  <c:v>67834.583333333328</c:v>
                </c:pt>
                <c:pt idx="2">
                  <c:v>66157.52</c:v>
                </c:pt>
                <c:pt idx="3">
                  <c:v>65071.981132075474</c:v>
                </c:pt>
                <c:pt idx="4">
                  <c:v>67929.076923076922</c:v>
                </c:pt>
              </c:numCache>
            </c:numRef>
          </c:val>
          <c:smooth val="0"/>
          <c:extLst>
            <c:ext xmlns:c16="http://schemas.microsoft.com/office/drawing/2014/chart" uri="{C3380CC4-5D6E-409C-BE32-E72D297353CC}">
              <c16:uniqueId val="{00000000-97B4-4FEA-A25D-B46FCD1924F8}"/>
            </c:ext>
          </c:extLst>
        </c:ser>
        <c:dLbls>
          <c:showLegendKey val="0"/>
          <c:showVal val="0"/>
          <c:showCatName val="0"/>
          <c:showSerName val="0"/>
          <c:showPercent val="0"/>
          <c:showBubbleSize val="0"/>
        </c:dLbls>
        <c:marker val="1"/>
        <c:smooth val="0"/>
        <c:axId val="1762643871"/>
        <c:axId val="1762647711"/>
      </c:lineChart>
      <c:catAx>
        <c:axId val="17626438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2647711"/>
        <c:crosses val="autoZero"/>
        <c:auto val="1"/>
        <c:lblAlgn val="ctr"/>
        <c:lblOffset val="100"/>
        <c:noMultiLvlLbl val="0"/>
      </c:catAx>
      <c:valAx>
        <c:axId val="17626477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2643871"/>
        <c:crosses val="autoZero"/>
        <c:crossBetween val="between"/>
      </c:valAx>
      <c:dTable>
        <c:showHorzBorder val="1"/>
        <c:showVertBorder val="1"/>
        <c:showOutline val="1"/>
        <c:showKeys val="0"/>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20.xlsx]Pivot Table!PivotTable5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4"/>
                </a:solidFill>
                <a:latin typeface="Algerian" panose="04020705040A02060702" pitchFamily="82" charset="0"/>
              </a:rPr>
              <a:t>GENDER COUNT OF EACH DEPT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Table'!$B$21:$B$22</c:f>
              <c:strCache>
                <c:ptCount val="1"/>
                <c:pt idx="0">
                  <c:v>Finance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Table'!$B$23:$B$26</c:f>
              <c:numCache>
                <c:formatCode>General</c:formatCode>
                <c:ptCount val="3"/>
                <c:pt idx="0">
                  <c:v>8</c:v>
                </c:pt>
                <c:pt idx="1">
                  <c:v>4</c:v>
                </c:pt>
                <c:pt idx="2">
                  <c:v>10</c:v>
                </c:pt>
              </c:numCache>
            </c:numRef>
          </c:val>
          <c:extLst>
            <c:ext xmlns:c16="http://schemas.microsoft.com/office/drawing/2014/chart" uri="{C3380CC4-5D6E-409C-BE32-E72D297353CC}">
              <c16:uniqueId val="{00000001-567C-45EC-BD1F-A934A88AA041}"/>
            </c:ext>
          </c:extLst>
        </c:ser>
        <c:ser>
          <c:idx val="1"/>
          <c:order val="1"/>
          <c:tx>
            <c:strRef>
              <c:f>'Pivot Table'!$C$21:$C$22</c:f>
              <c:strCache>
                <c:ptCount val="1"/>
                <c:pt idx="0">
                  <c:v>HR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Table'!$C$23:$C$26</c:f>
              <c:numCache>
                <c:formatCode>General</c:formatCode>
                <c:ptCount val="3"/>
                <c:pt idx="0">
                  <c:v>11</c:v>
                </c:pt>
                <c:pt idx="1">
                  <c:v>7</c:v>
                </c:pt>
                <c:pt idx="2">
                  <c:v>6</c:v>
                </c:pt>
              </c:numCache>
            </c:numRef>
          </c:val>
          <c:extLst>
            <c:ext xmlns:c16="http://schemas.microsoft.com/office/drawing/2014/chart" uri="{C3380CC4-5D6E-409C-BE32-E72D297353CC}">
              <c16:uniqueId val="{0000000A-567C-45EC-BD1F-A934A88AA041}"/>
            </c:ext>
          </c:extLst>
        </c:ser>
        <c:ser>
          <c:idx val="2"/>
          <c:order val="2"/>
          <c:tx>
            <c:strRef>
              <c:f>'Pivot Table'!$D$21:$D$22</c:f>
              <c:strCache>
                <c:ptCount val="1"/>
                <c:pt idx="0">
                  <c:v>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Table'!$D$23:$D$26</c:f>
              <c:numCache>
                <c:formatCode>General</c:formatCode>
                <c:ptCount val="3"/>
                <c:pt idx="0">
                  <c:v>5</c:v>
                </c:pt>
                <c:pt idx="1">
                  <c:v>10</c:v>
                </c:pt>
                <c:pt idx="2">
                  <c:v>10</c:v>
                </c:pt>
              </c:numCache>
            </c:numRef>
          </c:val>
          <c:extLst>
            <c:ext xmlns:c16="http://schemas.microsoft.com/office/drawing/2014/chart" uri="{C3380CC4-5D6E-409C-BE32-E72D297353CC}">
              <c16:uniqueId val="{0000000B-567C-45EC-BD1F-A934A88AA041}"/>
            </c:ext>
          </c:extLst>
        </c:ser>
        <c:ser>
          <c:idx val="3"/>
          <c:order val="3"/>
          <c:tx>
            <c:strRef>
              <c:f>'Pivot Table'!$E$21:$E$22</c:f>
              <c:strCache>
                <c:ptCount val="1"/>
                <c:pt idx="0">
                  <c:v>Marketing</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Table'!$E$23:$E$26</c:f>
              <c:numCache>
                <c:formatCode>General</c:formatCode>
                <c:ptCount val="3"/>
                <c:pt idx="0">
                  <c:v>16</c:v>
                </c:pt>
                <c:pt idx="1">
                  <c:v>20</c:v>
                </c:pt>
                <c:pt idx="2">
                  <c:v>17</c:v>
                </c:pt>
              </c:numCache>
            </c:numRef>
          </c:val>
          <c:extLst>
            <c:ext xmlns:c16="http://schemas.microsoft.com/office/drawing/2014/chart" uri="{C3380CC4-5D6E-409C-BE32-E72D297353CC}">
              <c16:uniqueId val="{0000000C-567C-45EC-BD1F-A934A88AA041}"/>
            </c:ext>
          </c:extLst>
        </c:ser>
        <c:ser>
          <c:idx val="4"/>
          <c:order val="4"/>
          <c:tx>
            <c:strRef>
              <c:f>'Pivot Table'!$F$21:$F$22</c:f>
              <c:strCache>
                <c:ptCount val="1"/>
                <c:pt idx="0">
                  <c:v>Sales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Table'!$F$23:$F$26</c:f>
              <c:numCache>
                <c:formatCode>General</c:formatCode>
                <c:ptCount val="3"/>
                <c:pt idx="0">
                  <c:v>9</c:v>
                </c:pt>
                <c:pt idx="1">
                  <c:v>10</c:v>
                </c:pt>
                <c:pt idx="2">
                  <c:v>7</c:v>
                </c:pt>
              </c:numCache>
            </c:numRef>
          </c:val>
          <c:extLst>
            <c:ext xmlns:c16="http://schemas.microsoft.com/office/drawing/2014/chart" uri="{C3380CC4-5D6E-409C-BE32-E72D297353CC}">
              <c16:uniqueId val="{0000000D-567C-45EC-BD1F-A934A88AA041}"/>
            </c:ext>
          </c:extLst>
        </c:ser>
        <c:dLbls>
          <c:dLblPos val="outEnd"/>
          <c:showLegendKey val="0"/>
          <c:showVal val="1"/>
          <c:showCatName val="0"/>
          <c:showSerName val="0"/>
          <c:showPercent val="0"/>
          <c:showBubbleSize val="0"/>
        </c:dLbls>
        <c:gapWidth val="115"/>
        <c:overlap val="-20"/>
        <c:axId val="1763766111"/>
        <c:axId val="1763762271"/>
      </c:barChart>
      <c:catAx>
        <c:axId val="17637661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3762271"/>
        <c:crosses val="autoZero"/>
        <c:auto val="1"/>
        <c:lblAlgn val="ctr"/>
        <c:lblOffset val="100"/>
        <c:noMultiLvlLbl val="0"/>
      </c:catAx>
      <c:valAx>
        <c:axId val="176376227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376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20.xlsx]Pivot Table!PivotTable6</c:name>
    <c:fmtId val="14"/>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solidFill>
                  <a:schemeClr val="accent4"/>
                </a:solidFill>
                <a:latin typeface="Algerian" panose="04020705040A02060702" pitchFamily="82" charset="0"/>
              </a:rPr>
              <a:t>COUNTRY VS PERFORMANCE RATING</a:t>
            </a:r>
          </a:p>
        </c:rich>
      </c:tx>
      <c:layout>
        <c:manualLayout>
          <c:xMode val="edge"/>
          <c:yMode val="edge"/>
          <c:x val="0.17242326082507681"/>
          <c:y val="8.5034745578254717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Table'!$B$35:$B$36</c:f>
              <c:strCache>
                <c:ptCount val="1"/>
                <c:pt idx="0">
                  <c:v>1</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2E24-4BBC-A31A-5D130687CFA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2E24-4BBC-A31A-5D130687CFA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2E24-4BBC-A31A-5D130687CFA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2E24-4BBC-A31A-5D130687CFA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2E24-4BBC-A31A-5D130687CF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Table'!$B$37:$B$41</c:f>
              <c:numCache>
                <c:formatCode>General</c:formatCode>
                <c:ptCount val="5"/>
                <c:pt idx="0">
                  <c:v>10</c:v>
                </c:pt>
                <c:pt idx="1">
                  <c:v>10</c:v>
                </c:pt>
                <c:pt idx="2">
                  <c:v>21</c:v>
                </c:pt>
                <c:pt idx="3">
                  <c:v>8</c:v>
                </c:pt>
                <c:pt idx="4">
                  <c:v>6</c:v>
                </c:pt>
              </c:numCache>
            </c:numRef>
          </c:val>
          <c:extLst>
            <c:ext xmlns:c16="http://schemas.microsoft.com/office/drawing/2014/chart" uri="{C3380CC4-5D6E-409C-BE32-E72D297353CC}">
              <c16:uniqueId val="{0000003E-2E24-4BBC-A31A-5D130687CFAA}"/>
            </c:ext>
          </c:extLst>
        </c:ser>
        <c:ser>
          <c:idx val="1"/>
          <c:order val="1"/>
          <c:tx>
            <c:strRef>
              <c:f>'Pivot Table'!$C$35:$C$36</c:f>
              <c:strCache>
                <c:ptCount val="1"/>
                <c:pt idx="0">
                  <c:v>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2E24-4BBC-A31A-5D130687CFA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2E24-4BBC-A31A-5D130687CFA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2E24-4BBC-A31A-5D130687CFA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2E24-4BBC-A31A-5D130687CFA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2E24-4BBC-A31A-5D130687CF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Table'!$C$37:$C$41</c:f>
              <c:numCache>
                <c:formatCode>General</c:formatCode>
                <c:ptCount val="5"/>
                <c:pt idx="0">
                  <c:v>2</c:v>
                </c:pt>
                <c:pt idx="1">
                  <c:v>2</c:v>
                </c:pt>
                <c:pt idx="2">
                  <c:v>10</c:v>
                </c:pt>
                <c:pt idx="3">
                  <c:v>3</c:v>
                </c:pt>
                <c:pt idx="4">
                  <c:v>6</c:v>
                </c:pt>
              </c:numCache>
            </c:numRef>
          </c:val>
          <c:extLst>
            <c:ext xmlns:c16="http://schemas.microsoft.com/office/drawing/2014/chart" uri="{C3380CC4-5D6E-409C-BE32-E72D297353CC}">
              <c16:uniqueId val="{0000004A-2E24-4BBC-A31A-5D130687CFAA}"/>
            </c:ext>
          </c:extLst>
        </c:ser>
        <c:ser>
          <c:idx val="2"/>
          <c:order val="2"/>
          <c:tx>
            <c:strRef>
              <c:f>'Pivot Table'!$D$35:$D$36</c:f>
              <c:strCache>
                <c:ptCount val="1"/>
                <c:pt idx="0">
                  <c:v>3</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2E24-4BBC-A31A-5D130687CFA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2E24-4BBC-A31A-5D130687CFA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2E24-4BBC-A31A-5D130687CFA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2E24-4BBC-A31A-5D130687CFA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2E24-4BBC-A31A-5D130687CF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Table'!$D$37:$D$41</c:f>
              <c:numCache>
                <c:formatCode>General</c:formatCode>
                <c:ptCount val="5"/>
                <c:pt idx="0">
                  <c:v>3</c:v>
                </c:pt>
                <c:pt idx="1">
                  <c:v>6</c:v>
                </c:pt>
                <c:pt idx="2">
                  <c:v>10</c:v>
                </c:pt>
                <c:pt idx="3">
                  <c:v>7</c:v>
                </c:pt>
                <c:pt idx="4">
                  <c:v>4</c:v>
                </c:pt>
              </c:numCache>
            </c:numRef>
          </c:val>
          <c:extLst>
            <c:ext xmlns:c16="http://schemas.microsoft.com/office/drawing/2014/chart" uri="{C3380CC4-5D6E-409C-BE32-E72D297353CC}">
              <c16:uniqueId val="{00000056-2E24-4BBC-A31A-5D130687CFAA}"/>
            </c:ext>
          </c:extLst>
        </c:ser>
        <c:ser>
          <c:idx val="3"/>
          <c:order val="3"/>
          <c:tx>
            <c:strRef>
              <c:f>'Pivot Table'!$E$35:$E$36</c:f>
              <c:strCache>
                <c:ptCount val="1"/>
                <c:pt idx="0">
                  <c:v>4</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2E24-4BBC-A31A-5D130687CFA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2E24-4BBC-A31A-5D130687CFA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2E24-4BBC-A31A-5D130687CFA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2E24-4BBC-A31A-5D130687CFA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2E24-4BBC-A31A-5D130687CF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Table'!$E$37:$E$41</c:f>
              <c:numCache>
                <c:formatCode>General</c:formatCode>
                <c:ptCount val="5"/>
                <c:pt idx="0">
                  <c:v>1</c:v>
                </c:pt>
                <c:pt idx="1">
                  <c:v>2</c:v>
                </c:pt>
                <c:pt idx="2">
                  <c:v>8</c:v>
                </c:pt>
                <c:pt idx="3">
                  <c:v>3</c:v>
                </c:pt>
                <c:pt idx="4">
                  <c:v>3</c:v>
                </c:pt>
              </c:numCache>
            </c:numRef>
          </c:val>
          <c:extLst>
            <c:ext xmlns:c16="http://schemas.microsoft.com/office/drawing/2014/chart" uri="{C3380CC4-5D6E-409C-BE32-E72D297353CC}">
              <c16:uniqueId val="{00000062-2E24-4BBC-A31A-5D130687CFAA}"/>
            </c:ext>
          </c:extLst>
        </c:ser>
        <c:ser>
          <c:idx val="4"/>
          <c:order val="4"/>
          <c:tx>
            <c:strRef>
              <c:f>'Pivot Table'!$F$35:$F$36</c:f>
              <c:strCache>
                <c:ptCount val="1"/>
                <c:pt idx="0">
                  <c:v>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2E24-4BBC-A31A-5D130687CFA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2E24-4BBC-A31A-5D130687CFA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2E24-4BBC-A31A-5D130687CFA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2E24-4BBC-A31A-5D130687CFA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2E24-4BBC-A31A-5D130687CF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Table'!$F$37:$F$41</c:f>
              <c:numCache>
                <c:formatCode>General</c:formatCode>
                <c:ptCount val="5"/>
                <c:pt idx="0">
                  <c:v>3</c:v>
                </c:pt>
                <c:pt idx="1">
                  <c:v>3</c:v>
                </c:pt>
                <c:pt idx="2">
                  <c:v>10</c:v>
                </c:pt>
                <c:pt idx="3">
                  <c:v>4</c:v>
                </c:pt>
                <c:pt idx="4">
                  <c:v>5</c:v>
                </c:pt>
              </c:numCache>
            </c:numRef>
          </c:val>
          <c:extLst>
            <c:ext xmlns:c16="http://schemas.microsoft.com/office/drawing/2014/chart" uri="{C3380CC4-5D6E-409C-BE32-E72D297353CC}">
              <c16:uniqueId val="{0000006E-2E24-4BBC-A31A-5D130687CFA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20.xlsx]Pivot Table!PivotTable9</c:name>
    <c:fmtId val="3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4"/>
                </a:solidFill>
                <a:latin typeface="Algerian" panose="04020705040A02060702" pitchFamily="82" charset="0"/>
              </a:rPr>
              <a:t>COUNT</a:t>
            </a:r>
            <a:r>
              <a:rPr lang="en-US" baseline="0">
                <a:solidFill>
                  <a:schemeClr val="accent4"/>
                </a:solidFill>
                <a:latin typeface="Algerian" panose="04020705040A02060702" pitchFamily="82" charset="0"/>
              </a:rPr>
              <a:t> OF EMP COUNTRY VS DEPT</a:t>
            </a:r>
            <a:endParaRPr lang="en-US">
              <a:solidFill>
                <a:schemeClr val="accent4"/>
              </a:solidFill>
              <a:latin typeface="Algerian" panose="04020705040A02060702" pitchFamily="82" charset="0"/>
            </a:endParaRPr>
          </a:p>
        </c:rich>
      </c:tx>
      <c:layout>
        <c:manualLayout>
          <c:xMode val="edge"/>
          <c:yMode val="edge"/>
          <c:x val="0.16869098345487044"/>
          <c:y val="2.291917554423344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910001079682946E-2"/>
          <c:y val="9.303535587463331E-2"/>
          <c:w val="0.93194859245769057"/>
          <c:h val="0.79442566002779058"/>
        </c:manualLayout>
      </c:layout>
      <c:barChart>
        <c:barDir val="col"/>
        <c:grouping val="stacked"/>
        <c:varyColors val="0"/>
        <c:ser>
          <c:idx val="0"/>
          <c:order val="0"/>
          <c:tx>
            <c:strRef>
              <c:f>'Pivot Table'!$B$94:$B$95</c:f>
              <c:strCache>
                <c:ptCount val="1"/>
                <c:pt idx="0">
                  <c:v>Finance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Table'!$B$96:$B$100</c:f>
              <c:numCache>
                <c:formatCode>General</c:formatCode>
                <c:ptCount val="5"/>
                <c:pt idx="0">
                  <c:v>2</c:v>
                </c:pt>
                <c:pt idx="1">
                  <c:v>1</c:v>
                </c:pt>
                <c:pt idx="2">
                  <c:v>11</c:v>
                </c:pt>
                <c:pt idx="3">
                  <c:v>5</c:v>
                </c:pt>
                <c:pt idx="4">
                  <c:v>3</c:v>
                </c:pt>
              </c:numCache>
            </c:numRef>
          </c:val>
          <c:extLst>
            <c:ext xmlns:c16="http://schemas.microsoft.com/office/drawing/2014/chart" uri="{C3380CC4-5D6E-409C-BE32-E72D297353CC}">
              <c16:uniqueId val="{00000001-8538-4586-BC94-E08040600F07}"/>
            </c:ext>
          </c:extLst>
        </c:ser>
        <c:ser>
          <c:idx val="1"/>
          <c:order val="1"/>
          <c:tx>
            <c:strRef>
              <c:f>'Pivot Table'!$C$94:$C$95</c:f>
              <c:strCache>
                <c:ptCount val="1"/>
                <c:pt idx="0">
                  <c:v>HR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Table'!$C$96:$C$100</c:f>
              <c:numCache>
                <c:formatCode>General</c:formatCode>
                <c:ptCount val="5"/>
                <c:pt idx="0">
                  <c:v>1</c:v>
                </c:pt>
                <c:pt idx="1">
                  <c:v>9</c:v>
                </c:pt>
                <c:pt idx="2">
                  <c:v>7</c:v>
                </c:pt>
                <c:pt idx="3">
                  <c:v>4</c:v>
                </c:pt>
                <c:pt idx="4">
                  <c:v>3</c:v>
                </c:pt>
              </c:numCache>
            </c:numRef>
          </c:val>
          <c:extLst>
            <c:ext xmlns:c16="http://schemas.microsoft.com/office/drawing/2014/chart" uri="{C3380CC4-5D6E-409C-BE32-E72D297353CC}">
              <c16:uniqueId val="{0000000A-8538-4586-BC94-E08040600F07}"/>
            </c:ext>
          </c:extLst>
        </c:ser>
        <c:ser>
          <c:idx val="2"/>
          <c:order val="2"/>
          <c:tx>
            <c:strRef>
              <c:f>'Pivot Table'!$D$94:$D$95</c:f>
              <c:strCache>
                <c:ptCount val="1"/>
                <c:pt idx="0">
                  <c:v>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Table'!$D$96:$D$100</c:f>
              <c:numCache>
                <c:formatCode>General</c:formatCode>
                <c:ptCount val="5"/>
                <c:pt idx="0">
                  <c:v>1</c:v>
                </c:pt>
                <c:pt idx="1">
                  <c:v>4</c:v>
                </c:pt>
                <c:pt idx="2">
                  <c:v>11</c:v>
                </c:pt>
                <c:pt idx="3">
                  <c:v>4</c:v>
                </c:pt>
                <c:pt idx="4">
                  <c:v>5</c:v>
                </c:pt>
              </c:numCache>
            </c:numRef>
          </c:val>
          <c:extLst>
            <c:ext xmlns:c16="http://schemas.microsoft.com/office/drawing/2014/chart" uri="{C3380CC4-5D6E-409C-BE32-E72D297353CC}">
              <c16:uniqueId val="{0000000B-8538-4586-BC94-E08040600F07}"/>
            </c:ext>
          </c:extLst>
        </c:ser>
        <c:ser>
          <c:idx val="3"/>
          <c:order val="3"/>
          <c:tx>
            <c:strRef>
              <c:f>'Pivot Table'!$E$94:$E$95</c:f>
              <c:strCache>
                <c:ptCount val="1"/>
                <c:pt idx="0">
                  <c:v>Marketing</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Table'!$E$96:$E$100</c:f>
              <c:numCache>
                <c:formatCode>General</c:formatCode>
                <c:ptCount val="5"/>
                <c:pt idx="0">
                  <c:v>9</c:v>
                </c:pt>
                <c:pt idx="1">
                  <c:v>6</c:v>
                </c:pt>
                <c:pt idx="2">
                  <c:v>20</c:v>
                </c:pt>
                <c:pt idx="3">
                  <c:v>11</c:v>
                </c:pt>
                <c:pt idx="4">
                  <c:v>7</c:v>
                </c:pt>
              </c:numCache>
            </c:numRef>
          </c:val>
          <c:extLst>
            <c:ext xmlns:c16="http://schemas.microsoft.com/office/drawing/2014/chart" uri="{C3380CC4-5D6E-409C-BE32-E72D297353CC}">
              <c16:uniqueId val="{0000000C-8538-4586-BC94-E08040600F07}"/>
            </c:ext>
          </c:extLst>
        </c:ser>
        <c:ser>
          <c:idx val="4"/>
          <c:order val="4"/>
          <c:tx>
            <c:strRef>
              <c:f>'Pivot Table'!$F$94:$F$95</c:f>
              <c:strCache>
                <c:ptCount val="1"/>
                <c:pt idx="0">
                  <c:v>Sales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Table'!$F$96:$F$100</c:f>
              <c:numCache>
                <c:formatCode>General</c:formatCode>
                <c:ptCount val="5"/>
                <c:pt idx="0">
                  <c:v>6</c:v>
                </c:pt>
                <c:pt idx="1">
                  <c:v>3</c:v>
                </c:pt>
                <c:pt idx="2">
                  <c:v>10</c:v>
                </c:pt>
                <c:pt idx="3">
                  <c:v>1</c:v>
                </c:pt>
                <c:pt idx="4">
                  <c:v>6</c:v>
                </c:pt>
              </c:numCache>
            </c:numRef>
          </c:val>
          <c:extLst>
            <c:ext xmlns:c16="http://schemas.microsoft.com/office/drawing/2014/chart" uri="{C3380CC4-5D6E-409C-BE32-E72D297353CC}">
              <c16:uniqueId val="{0000000D-8538-4586-BC94-E08040600F07}"/>
            </c:ext>
          </c:extLst>
        </c:ser>
        <c:dLbls>
          <c:dLblPos val="ctr"/>
          <c:showLegendKey val="0"/>
          <c:showVal val="1"/>
          <c:showCatName val="0"/>
          <c:showSerName val="0"/>
          <c:showPercent val="0"/>
          <c:showBubbleSize val="0"/>
        </c:dLbls>
        <c:gapWidth val="150"/>
        <c:overlap val="100"/>
        <c:axId val="769916015"/>
        <c:axId val="769904495"/>
      </c:barChart>
      <c:catAx>
        <c:axId val="7699160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9904495"/>
        <c:crosses val="autoZero"/>
        <c:auto val="1"/>
        <c:lblAlgn val="ctr"/>
        <c:lblOffset val="100"/>
        <c:noMultiLvlLbl val="0"/>
      </c:catAx>
      <c:valAx>
        <c:axId val="7699044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9916015"/>
        <c:crosses val="autoZero"/>
        <c:crossBetween val="between"/>
      </c:valAx>
      <c:spPr>
        <a:noFill/>
        <a:ln>
          <a:noFill/>
        </a:ln>
        <a:effectLst/>
      </c:spPr>
    </c:plotArea>
    <c:legend>
      <c:legendPos val="t"/>
      <c:layout>
        <c:manualLayout>
          <c:xMode val="edge"/>
          <c:yMode val="edge"/>
          <c:x val="0.29887612336415437"/>
          <c:y val="0.13535611713457285"/>
          <c:w val="0.47969263835617182"/>
          <c:h val="8.272116720704031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20.xlsx]Pivot Table!PivotTable3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sng">
                <a:solidFill>
                  <a:schemeClr val="accent4"/>
                </a:solidFill>
                <a:latin typeface="Algerian" panose="04020705040A02060702" pitchFamily="82" charset="0"/>
              </a:rPr>
              <a:t>DEPT VS AVG</a:t>
            </a:r>
            <a:r>
              <a:rPr lang="en-US" u="sng" baseline="0">
                <a:solidFill>
                  <a:schemeClr val="accent4"/>
                </a:solidFill>
                <a:latin typeface="Algerian" panose="04020705040A02060702" pitchFamily="82" charset="0"/>
              </a:rPr>
              <a:t> PERFORMANCE RATING</a:t>
            </a:r>
            <a:endParaRPr lang="en-US" u="sng">
              <a:solidFill>
                <a:schemeClr val="accent4"/>
              </a:solidFill>
              <a:latin typeface="Algerian" panose="04020705040A02060702" pitchFamily="82" charset="0"/>
            </a:endParaRPr>
          </a:p>
        </c:rich>
      </c:tx>
      <c:layout>
        <c:manualLayout>
          <c:xMode val="edge"/>
          <c:yMode val="edge"/>
          <c:x val="0.20629696579756324"/>
          <c:y val="7.474441171917160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286640726329441E-2"/>
          <c:y val="0.26674447189077349"/>
          <c:w val="0.78820572525710553"/>
          <c:h val="0.62977290861375279"/>
        </c:manualLayout>
      </c:layout>
      <c:pie3DChart>
        <c:varyColors val="1"/>
        <c:ser>
          <c:idx val="0"/>
          <c:order val="0"/>
          <c:tx>
            <c:strRef>
              <c:f>'Pivot Table'!$J$57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299-4629-A558-943BA24FB15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299-4629-A558-943BA24FB15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299-4629-A558-943BA24FB15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D299-4629-A558-943BA24FB150}"/>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D299-4629-A558-943BA24FB1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Table'!$I$58:$I$62</c:f>
              <c:strCache>
                <c:ptCount val="5"/>
                <c:pt idx="0">
                  <c:v>Finance</c:v>
                </c:pt>
                <c:pt idx="1">
                  <c:v>HR</c:v>
                </c:pt>
                <c:pt idx="2">
                  <c:v>IT</c:v>
                </c:pt>
                <c:pt idx="3">
                  <c:v>Marketing</c:v>
                </c:pt>
                <c:pt idx="4">
                  <c:v>Sales</c:v>
                </c:pt>
              </c:strCache>
            </c:strRef>
          </c:cat>
          <c:val>
            <c:numRef>
              <c:f>'Pivot Table'!$J$58:$J$62</c:f>
              <c:numCache>
                <c:formatCode>0.00</c:formatCode>
                <c:ptCount val="5"/>
                <c:pt idx="0">
                  <c:v>2.3636363636363638</c:v>
                </c:pt>
                <c:pt idx="1">
                  <c:v>2.4166666666666665</c:v>
                </c:pt>
                <c:pt idx="2">
                  <c:v>2.4</c:v>
                </c:pt>
                <c:pt idx="3">
                  <c:v>2.8301886792452828</c:v>
                </c:pt>
                <c:pt idx="4">
                  <c:v>2.4615384615384617</c:v>
                </c:pt>
              </c:numCache>
            </c:numRef>
          </c:val>
          <c:extLst>
            <c:ext xmlns:c16="http://schemas.microsoft.com/office/drawing/2014/chart" uri="{C3380CC4-5D6E-409C-BE32-E72D297353CC}">
              <c16:uniqueId val="{0000000A-4777-4FB6-B43B-4A5D6F306BD1}"/>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20.xlsx]Pivot Table!PivotTable8</c:name>
    <c:fmtId val="28"/>
  </c:pivotSource>
  <c:chart>
    <c:title>
      <c:tx>
        <c:rich>
          <a:bodyPr rot="0" spcFirstLastPara="1" vertOverflow="ellipsis" vert="horz" wrap="square" anchor="ctr" anchorCtr="1"/>
          <a:lstStyle/>
          <a:p>
            <a:pPr>
              <a:defRPr sz="1600" b="1" i="0" u="none" strike="noStrike" kern="1200" spc="100" baseline="0">
                <a:solidFill>
                  <a:schemeClr val="accent4"/>
                </a:solidFill>
                <a:effectLst>
                  <a:outerShdw blurRad="50800" dist="38100" dir="5400000" algn="t" rotWithShape="0">
                    <a:prstClr val="black">
                      <a:alpha val="40000"/>
                    </a:prstClr>
                  </a:outerShdw>
                </a:effectLst>
                <a:latin typeface="Algerian" panose="04020705040A02060702" pitchFamily="82" charset="0"/>
                <a:ea typeface="+mn-ea"/>
                <a:cs typeface="+mn-cs"/>
              </a:defRPr>
            </a:pPr>
            <a:r>
              <a:rPr lang="en-US">
                <a:solidFill>
                  <a:schemeClr val="accent4"/>
                </a:solidFill>
                <a:latin typeface="Algerian" panose="04020705040A02060702" pitchFamily="82" charset="0"/>
              </a:rPr>
              <a:t>COUNTRY WISE AVG SALARY</a:t>
            </a:r>
          </a:p>
        </c:rich>
      </c:tx>
      <c:layout>
        <c:manualLayout>
          <c:xMode val="edge"/>
          <c:yMode val="edge"/>
          <c:x val="0.29856798410216939"/>
          <c:y val="3.0337704618624427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accent4"/>
              </a:solidFill>
              <a:effectLst>
                <a:outerShdw blurRad="50800" dist="38100" dir="5400000" algn="t" rotWithShape="0">
                  <a:prstClr val="black">
                    <a:alpha val="40000"/>
                  </a:prstClr>
                </a:outerShdw>
              </a:effectLst>
              <a:latin typeface="Algerian" panose="04020705040A02060702" pitchFamily="82"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849452076281117"/>
          <c:y val="0.24618452787477677"/>
          <c:w val="0.57668616969537301"/>
          <c:h val="0.70430354044602095"/>
        </c:manualLayout>
      </c:layout>
      <c:doughnutChart>
        <c:varyColors val="1"/>
        <c:ser>
          <c:idx val="0"/>
          <c:order val="0"/>
          <c:tx>
            <c:strRef>
              <c:f>'Pivot Table'!$B$72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372-42D0-8CF5-0E3D64DFAE6B}"/>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372-42D0-8CF5-0E3D64DFAE6B}"/>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372-42D0-8CF5-0E3D64DFAE6B}"/>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372-42D0-8CF5-0E3D64DFAE6B}"/>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372-42D0-8CF5-0E3D64DFAE6B}"/>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Table'!$A$73:$A$77</c:f>
              <c:strCache>
                <c:ptCount val="5"/>
                <c:pt idx="0">
                  <c:v>Australia</c:v>
                </c:pt>
                <c:pt idx="1">
                  <c:v>Germany</c:v>
                </c:pt>
                <c:pt idx="2">
                  <c:v>India</c:v>
                </c:pt>
                <c:pt idx="3">
                  <c:v>UK</c:v>
                </c:pt>
                <c:pt idx="4">
                  <c:v>USA</c:v>
                </c:pt>
              </c:strCache>
            </c:strRef>
          </c:cat>
          <c:val>
            <c:numRef>
              <c:f>'Pivot Table'!$B$73:$B$77</c:f>
              <c:numCache>
                <c:formatCode>0</c:formatCode>
                <c:ptCount val="5"/>
                <c:pt idx="0">
                  <c:v>61609.84210526316</c:v>
                </c:pt>
                <c:pt idx="1">
                  <c:v>65861.434782608689</c:v>
                </c:pt>
                <c:pt idx="2">
                  <c:v>68764.677966101692</c:v>
                </c:pt>
                <c:pt idx="3">
                  <c:v>62118</c:v>
                </c:pt>
                <c:pt idx="4">
                  <c:v>68532.25</c:v>
                </c:pt>
              </c:numCache>
            </c:numRef>
          </c:val>
          <c:extLst>
            <c:ext xmlns:c16="http://schemas.microsoft.com/office/drawing/2014/chart" uri="{C3380CC4-5D6E-409C-BE32-E72D297353CC}">
              <c16:uniqueId val="{0000000A-A372-42D0-8CF5-0E3D64DFAE6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9866320323696915"/>
          <c:y val="0.16139241061213253"/>
          <c:w val="0.52915764947261013"/>
          <c:h val="5.34445412573384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14</xdr:col>
      <xdr:colOff>161924</xdr:colOff>
      <xdr:row>17</xdr:row>
      <xdr:rowOff>52387</xdr:rowOff>
    </xdr:from>
    <xdr:to>
      <xdr:col>23</xdr:col>
      <xdr:colOff>190500</xdr:colOff>
      <xdr:row>32</xdr:row>
      <xdr:rowOff>171450</xdr:rowOff>
    </xdr:to>
    <xdr:graphicFrame macro="">
      <xdr:nvGraphicFramePr>
        <xdr:cNvPr id="3" name="Chart 2">
          <a:extLst>
            <a:ext uri="{FF2B5EF4-FFF2-40B4-BE49-F238E27FC236}">
              <a16:creationId xmlns:a16="http://schemas.microsoft.com/office/drawing/2014/main" id="{33A66153-EA3B-2C28-3781-75194CBCE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257175</xdr:colOff>
      <xdr:row>33</xdr:row>
      <xdr:rowOff>176212</xdr:rowOff>
    </xdr:from>
    <xdr:to>
      <xdr:col>16</xdr:col>
      <xdr:colOff>495301</xdr:colOff>
      <xdr:row>49</xdr:row>
      <xdr:rowOff>123825</xdr:rowOff>
    </xdr:to>
    <xdr:graphicFrame macro="">
      <xdr:nvGraphicFramePr>
        <xdr:cNvPr id="4" name="Chart 3">
          <a:extLst>
            <a:ext uri="{FF2B5EF4-FFF2-40B4-BE49-F238E27FC236}">
              <a16:creationId xmlns:a16="http://schemas.microsoft.com/office/drawing/2014/main" id="{669C454B-03B5-1665-B2FB-18BC16CAE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352425</xdr:colOff>
      <xdr:row>1</xdr:row>
      <xdr:rowOff>33337</xdr:rowOff>
    </xdr:from>
    <xdr:to>
      <xdr:col>19</xdr:col>
      <xdr:colOff>47625</xdr:colOff>
      <xdr:row>15</xdr:row>
      <xdr:rowOff>109537</xdr:rowOff>
    </xdr:to>
    <xdr:graphicFrame macro="">
      <xdr:nvGraphicFramePr>
        <xdr:cNvPr id="7" name="Chart 6">
          <a:extLst>
            <a:ext uri="{FF2B5EF4-FFF2-40B4-BE49-F238E27FC236}">
              <a16:creationId xmlns:a16="http://schemas.microsoft.com/office/drawing/2014/main" id="{C647046B-8928-51F0-3D88-A3092D9DED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485775</xdr:colOff>
      <xdr:row>69</xdr:row>
      <xdr:rowOff>38100</xdr:rowOff>
    </xdr:from>
    <xdr:to>
      <xdr:col>14</xdr:col>
      <xdr:colOff>47625</xdr:colOff>
      <xdr:row>90</xdr:row>
      <xdr:rowOff>47626</xdr:rowOff>
    </xdr:to>
    <xdr:graphicFrame macro="">
      <xdr:nvGraphicFramePr>
        <xdr:cNvPr id="8" name="Chart 7">
          <a:extLst>
            <a:ext uri="{FF2B5EF4-FFF2-40B4-BE49-F238E27FC236}">
              <a16:creationId xmlns:a16="http://schemas.microsoft.com/office/drawing/2014/main" id="{27AA9714-0F32-032A-4F5A-D0AD7A8A18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571499</xdr:colOff>
      <xdr:row>91</xdr:row>
      <xdr:rowOff>123825</xdr:rowOff>
    </xdr:from>
    <xdr:to>
      <xdr:col>16</xdr:col>
      <xdr:colOff>304800</xdr:colOff>
      <xdr:row>110</xdr:row>
      <xdr:rowOff>142875</xdr:rowOff>
    </xdr:to>
    <xdr:graphicFrame macro="">
      <xdr:nvGraphicFramePr>
        <xdr:cNvPr id="2" name="Chart 1">
          <a:extLst>
            <a:ext uri="{FF2B5EF4-FFF2-40B4-BE49-F238E27FC236}">
              <a16:creationId xmlns:a16="http://schemas.microsoft.com/office/drawing/2014/main" id="{8C7A1ED9-FAE3-93C2-4FDF-F8355DB62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200025</xdr:colOff>
      <xdr:row>51</xdr:row>
      <xdr:rowOff>180975</xdr:rowOff>
    </xdr:from>
    <xdr:to>
      <xdr:col>18</xdr:col>
      <xdr:colOff>219075</xdr:colOff>
      <xdr:row>67</xdr:row>
      <xdr:rowOff>28575</xdr:rowOff>
    </xdr:to>
    <xdr:graphicFrame macro="">
      <xdr:nvGraphicFramePr>
        <xdr:cNvPr id="5" name="Chart 4">
          <a:extLst>
            <a:ext uri="{FF2B5EF4-FFF2-40B4-BE49-F238E27FC236}">
              <a16:creationId xmlns:a16="http://schemas.microsoft.com/office/drawing/2014/main" id="{78DCB741-00E8-731A-EA3E-B812B8886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190501</xdr:colOff>
      <xdr:row>2</xdr:row>
      <xdr:rowOff>180975</xdr:rowOff>
    </xdr:from>
    <xdr:to>
      <xdr:col>7</xdr:col>
      <xdr:colOff>485775</xdr:colOff>
      <xdr:row>16</xdr:row>
      <xdr:rowOff>123825</xdr:rowOff>
    </xdr:to>
    <xdr:graphicFrame macro="">
      <xdr:nvGraphicFramePr>
        <xdr:cNvPr id="3" name="Chart 2">
          <a:extLst>
            <a:ext uri="{FF2B5EF4-FFF2-40B4-BE49-F238E27FC236}">
              <a16:creationId xmlns:a16="http://schemas.microsoft.com/office/drawing/2014/main" id="{6D892B80-B9CE-4119-98E4-CB7C90FC0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419100</xdr:colOff>
      <xdr:row>16</xdr:row>
      <xdr:rowOff>104776</xdr:rowOff>
    </xdr:from>
    <xdr:to>
      <xdr:col>16</xdr:col>
      <xdr:colOff>171449</xdr:colOff>
      <xdr:row>29</xdr:row>
      <xdr:rowOff>19050</xdr:rowOff>
    </xdr:to>
    <xdr:graphicFrame macro="">
      <xdr:nvGraphicFramePr>
        <xdr:cNvPr id="5" name="Chart 4">
          <a:extLst>
            <a:ext uri="{FF2B5EF4-FFF2-40B4-BE49-F238E27FC236}">
              <a16:creationId xmlns:a16="http://schemas.microsoft.com/office/drawing/2014/main" id="{E826BF00-8E5F-4EEE-A152-CE1056622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400050</xdr:colOff>
      <xdr:row>3</xdr:row>
      <xdr:rowOff>9525</xdr:rowOff>
    </xdr:from>
    <xdr:to>
      <xdr:col>22</xdr:col>
      <xdr:colOff>590551</xdr:colOff>
      <xdr:row>16</xdr:row>
      <xdr:rowOff>114300</xdr:rowOff>
    </xdr:to>
    <xdr:graphicFrame macro="">
      <xdr:nvGraphicFramePr>
        <xdr:cNvPr id="6" name="Chart 5">
          <a:extLst>
            <a:ext uri="{FF2B5EF4-FFF2-40B4-BE49-F238E27FC236}">
              <a16:creationId xmlns:a16="http://schemas.microsoft.com/office/drawing/2014/main" id="{F9342C8B-5BC8-41BC-97EB-13D322969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28575</xdr:colOff>
      <xdr:row>3</xdr:row>
      <xdr:rowOff>85727</xdr:rowOff>
    </xdr:from>
    <xdr:to>
      <xdr:col>2</xdr:col>
      <xdr:colOff>219075</xdr:colOff>
      <xdr:row>10</xdr:row>
      <xdr:rowOff>76201</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12E89770-393C-264F-2CB4-B91728CFCF1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8575" y="657227"/>
              <a:ext cx="1409700" cy="1323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66676</xdr:rowOff>
    </xdr:from>
    <xdr:to>
      <xdr:col>2</xdr:col>
      <xdr:colOff>190500</xdr:colOff>
      <xdr:row>28</xdr:row>
      <xdr:rowOff>180976</xdr:rowOff>
    </xdr:to>
    <mc:AlternateContent xmlns:mc="http://schemas.openxmlformats.org/markup-compatibility/2006" xmlns:a14="http://schemas.microsoft.com/office/drawing/2010/main">
      <mc:Choice Requires="a14">
        <xdr:graphicFrame macro="">
          <xdr:nvGraphicFramePr>
            <xdr:cNvPr id="12" name="Performance Rating">
              <a:extLst>
                <a:ext uri="{FF2B5EF4-FFF2-40B4-BE49-F238E27FC236}">
                  <a16:creationId xmlns:a16="http://schemas.microsoft.com/office/drawing/2014/main" id="{17F4C383-5A34-0591-4437-07DCA55DF45D}"/>
                </a:ext>
              </a:extLst>
            </xdr:cNvPr>
            <xdr:cNvGraphicFramePr/>
          </xdr:nvGraphicFramePr>
          <xdr:xfrm>
            <a:off x="0" y="0"/>
            <a:ext cx="0" cy="0"/>
          </xdr:xfrm>
          <a:graphic>
            <a:graphicData uri="http://schemas.microsoft.com/office/drawing/2010/slicer">
              <sle:slicer xmlns:sle="http://schemas.microsoft.com/office/drawing/2010/slicer" name="Performance Rating"/>
            </a:graphicData>
          </a:graphic>
        </xdr:graphicFrame>
      </mc:Choice>
      <mc:Fallback xmlns="">
        <xdr:sp macro="" textlink="">
          <xdr:nvSpPr>
            <xdr:cNvPr id="0" name=""/>
            <xdr:cNvSpPr>
              <a:spLocks noTextEdit="1"/>
            </xdr:cNvSpPr>
          </xdr:nvSpPr>
          <xdr:spPr>
            <a:xfrm>
              <a:off x="0" y="4448176"/>
              <a:ext cx="1409700"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16</xdr:row>
      <xdr:rowOff>57151</xdr:rowOff>
    </xdr:from>
    <xdr:to>
      <xdr:col>2</xdr:col>
      <xdr:colOff>171450</xdr:colOff>
      <xdr:row>23</xdr:row>
      <xdr:rowOff>57151</xdr:rowOff>
    </xdr:to>
    <mc:AlternateContent xmlns:mc="http://schemas.openxmlformats.org/markup-compatibility/2006" xmlns:a14="http://schemas.microsoft.com/office/drawing/2010/main">
      <mc:Choice Requires="a14">
        <xdr:graphicFrame macro="">
          <xdr:nvGraphicFramePr>
            <xdr:cNvPr id="13" name="Department">
              <a:extLst>
                <a:ext uri="{FF2B5EF4-FFF2-40B4-BE49-F238E27FC236}">
                  <a16:creationId xmlns:a16="http://schemas.microsoft.com/office/drawing/2014/main" id="{6DDC21B5-F965-F699-0F02-3E9D8EEC942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9050" y="3105151"/>
              <a:ext cx="137160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10</xdr:row>
      <xdr:rowOff>28576</xdr:rowOff>
    </xdr:from>
    <xdr:to>
      <xdr:col>2</xdr:col>
      <xdr:colOff>171450</xdr:colOff>
      <xdr:row>16</xdr:row>
      <xdr:rowOff>66676</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0E06CBD1-0344-7C34-3A9F-F89E55E70CE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525" y="1933576"/>
              <a:ext cx="1381125"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485776</xdr:colOff>
      <xdr:row>3</xdr:row>
      <xdr:rowOff>0</xdr:rowOff>
    </xdr:from>
    <xdr:to>
      <xdr:col>15</xdr:col>
      <xdr:colOff>409575</xdr:colOff>
      <xdr:row>16</xdr:row>
      <xdr:rowOff>114300</xdr:rowOff>
    </xdr:to>
    <xdr:graphicFrame macro="">
      <xdr:nvGraphicFramePr>
        <xdr:cNvPr id="15" name="Chart 14">
          <a:extLst>
            <a:ext uri="{FF2B5EF4-FFF2-40B4-BE49-F238E27FC236}">
              <a16:creationId xmlns:a16="http://schemas.microsoft.com/office/drawing/2014/main" id="{45E976C9-DF9C-44BE-B712-F2DA6BC30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180974</xdr:colOff>
      <xdr:row>16</xdr:row>
      <xdr:rowOff>114301</xdr:rowOff>
    </xdr:from>
    <xdr:to>
      <xdr:col>8</xdr:col>
      <xdr:colOff>419099</xdr:colOff>
      <xdr:row>29</xdr:row>
      <xdr:rowOff>19051</xdr:rowOff>
    </xdr:to>
    <xdr:graphicFrame macro="">
      <xdr:nvGraphicFramePr>
        <xdr:cNvPr id="16" name="Chart 15">
          <a:extLst>
            <a:ext uri="{FF2B5EF4-FFF2-40B4-BE49-F238E27FC236}">
              <a16:creationId xmlns:a16="http://schemas.microsoft.com/office/drawing/2014/main" id="{ADF78A55-4210-44B5-9C44-D224526FA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502920</xdr:colOff>
      <xdr:row>16</xdr:row>
      <xdr:rowOff>0</xdr:rowOff>
    </xdr:from>
    <xdr:to>
      <xdr:col>26</xdr:col>
      <xdr:colOff>72390</xdr:colOff>
      <xdr:row>33</xdr:row>
      <xdr:rowOff>154306</xdr:rowOff>
    </xdr:to>
    <xdr:graphicFrame macro="">
      <xdr:nvGraphicFramePr>
        <xdr:cNvPr id="17" name="Chart 16">
          <a:extLst>
            <a:ext uri="{FF2B5EF4-FFF2-40B4-BE49-F238E27FC236}">
              <a16:creationId xmlns:a16="http://schemas.microsoft.com/office/drawing/2014/main" id="{26776306-5262-475D-80B9-7B59F30D8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60510648151" backgroundQuery="1" createdVersion="8" refreshedVersion="8" minRefreshableVersion="3" recordCount="0" supportSubquery="1" supportAdvancedDrill="1" xr:uid="{A066A038-BF41-4509-91F2-BB0DF9FA2E7A}">
  <cacheSource type="external" connectionId="1"/>
  <cacheFields count="3">
    <cacheField name="[Range].[Department].[Department]" caption="Department" numFmtId="0" hierarchy="2" level="1">
      <sharedItems count="5">
        <s v="Finance"/>
        <s v="HR"/>
        <s v="IT"/>
        <s v="Marketing"/>
        <s v="Sales"/>
      </sharedItems>
    </cacheField>
    <cacheField name="[Measures].[Average of Performance Rating]" caption="Average of Performance Rating" numFmtId="0" hierarchy="16" level="32767"/>
    <cacheField name="[Range].[Performance Rating].[Performance Rating]" caption="Performance Rating" numFmtId="0" hierarchy="5" level="1">
      <sharedItems containsSemiMixedTypes="0" containsNonDate="0" containsString="0"/>
    </cacheField>
  </cacheFields>
  <cacheHierarchies count="21">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2" memberValueDatatype="130" unbalanced="0"/>
    <cacheHierarchy uniqueName="[Range].[Salary]" caption="Salary" attribute="1" defaultMemberUniqueName="[Range].[Salary].[All]" allUniqueName="[Range].[Salary].[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2" memberValueDatatype="20" unbalanced="0">
      <fieldsUsage count="2">
        <fieldUsage x="-1"/>
        <fieldUsage x="2"/>
      </fieldsUsage>
    </cacheHierarchy>
    <cacheHierarchy uniqueName="[Range].[Date of Joining]" caption="Date of Joining" attribute="1" time="1" defaultMemberUniqueName="[Range].[Date of Joining].[All]" allUniqueName="[Range].[Date of Joining].[All]" dimensionUniqueName="[Range]" displayFolder="" count="0" memberValueDatatype="7" unbalanced="0"/>
    <cacheHierarchy uniqueName="[Range].[Gender]" caption="Gender" attribute="1" defaultMemberUniqueName="[Range].[Gender].[All]" allUniqueName="[Range].[Gender].[All]" dimensionUniqueName="[Range]" displayFolder="" count="2" memberValueDatatype="130" unbalanced="0"/>
    <cacheHierarchy uniqueName="[Range].[Email]" caption="Email" attribute="1" defaultMemberUniqueName="[Range].[Email].[All]" allUniqueName="[Range].[Emai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7"/>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Average of Performance Rating]" caption="Average of Performance Rating"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Max of Salary]" caption="Max of Salary" measure="1" displayFolder="" measureGroup="Range" count="0" hidden="1">
      <extLst>
        <ext xmlns:x15="http://schemas.microsoft.com/office/spreadsheetml/2010/11/main" uri="{B97F6D7D-B522-45F9-BDA1-12C45D357490}">
          <x15:cacheHierarchy aggregatedColumn="4"/>
        </ext>
      </extLst>
    </cacheHierarchy>
    <cacheHierarchy uniqueName="[Measures].[Min of Salary]" caption="Min of Salary" measure="1" displayFolder="" measureGroup="Range"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60511226852" backgroundQuery="1" createdVersion="8" refreshedVersion="8" minRefreshableVersion="3" recordCount="0" supportSubquery="1" supportAdvancedDrill="1" xr:uid="{36D6701E-7815-44BB-B621-342AA15C1B6A}">
  <cacheSource type="external" connectionId="1"/>
  <cacheFields count="3">
    <cacheField name="[Range].[Department].[Department]" caption="Department" numFmtId="0" hierarchy="2" level="1">
      <sharedItems count="5">
        <s v="Finance"/>
        <s v="HR"/>
        <s v="IT"/>
        <s v="Marketing"/>
        <s v="Sales"/>
      </sharedItems>
    </cacheField>
    <cacheField name="[Measures].[Average of Salary]" caption="Average of Salary" numFmtId="0" hierarchy="12" level="32767"/>
    <cacheField name="[Range].[Performance Rating].[Performance Rating]" caption="Performance Rating" numFmtId="0" hierarchy="5" level="1">
      <sharedItems containsSemiMixedTypes="0" containsNonDate="0" containsString="0"/>
    </cacheField>
  </cacheFields>
  <cacheHierarchies count="21">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2" memberValueDatatype="130" unbalanced="0"/>
    <cacheHierarchy uniqueName="[Range].[Salary]" caption="Salary" attribute="1" defaultMemberUniqueName="[Range].[Salary].[All]" allUniqueName="[Range].[Salary].[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2" memberValueDatatype="20" unbalanced="0">
      <fieldsUsage count="2">
        <fieldUsage x="-1"/>
        <fieldUsage x="2"/>
      </fieldsUsage>
    </cacheHierarchy>
    <cacheHierarchy uniqueName="[Range].[Date of Joining]" caption="Date of Joining" attribute="1" time="1" defaultMemberUniqueName="[Range].[Date of Joining].[All]" allUniqueName="[Range].[Date of Joining].[All]" dimensionUniqueName="[Range]" displayFolder="" count="0" memberValueDatatype="7" unbalanced="0"/>
    <cacheHierarchy uniqueName="[Range].[Gender]" caption="Gender" attribute="1" defaultMemberUniqueName="[Range].[Gender].[All]" allUniqueName="[Range].[Gender].[All]" dimensionUniqueName="[Range]" displayFolder="" count="2" memberValueDatatype="130" unbalanced="0"/>
    <cacheHierarchy uniqueName="[Range].[Email]" caption="Email" attribute="1" defaultMemberUniqueName="[Range].[Email].[All]" allUniqueName="[Range].[Emai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7"/>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Max of Salary]" caption="Max of Salary" measure="1" displayFolder="" measureGroup="Range" count="0" hidden="1">
      <extLst>
        <ext xmlns:x15="http://schemas.microsoft.com/office/spreadsheetml/2010/11/main" uri="{B97F6D7D-B522-45F9-BDA1-12C45D357490}">
          <x15:cacheHierarchy aggregatedColumn="4"/>
        </ext>
      </extLst>
    </cacheHierarchy>
    <cacheHierarchy uniqueName="[Measures].[Min of Salary]" caption="Min of Salary" measure="1" displayFolder="" measureGroup="Range"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60511689814" backgroundQuery="1" createdVersion="8" refreshedVersion="8" minRefreshableVersion="3" recordCount="0" supportSubquery="1" supportAdvancedDrill="1" xr:uid="{745B2B1F-5B4F-416A-91D9-DEEE3BEB7F89}">
  <cacheSource type="external" connectionId="1"/>
  <cacheFields count="4">
    <cacheField name="[Range].[Gender].[Gender]" caption="Gender" numFmtId="0" hierarchy="7" level="1">
      <sharedItems count="3">
        <s v="Female"/>
        <s v="Male"/>
        <s v="Other"/>
      </sharedItems>
    </cacheField>
    <cacheField name="[Range].[Department].[Department]" caption="Department" numFmtId="0" hierarchy="2" level="1">
      <sharedItems count="5">
        <s v="Finance"/>
        <s v="HR"/>
        <s v="IT"/>
        <s v="Marketing"/>
        <s v="Sales"/>
      </sharedItems>
    </cacheField>
    <cacheField name="[Measures].[Count of Gender]" caption="Count of Gender" numFmtId="0" hierarchy="14" level="32767"/>
    <cacheField name="[Range].[Performance Rating].[Performance Rating]" caption="Performance Rating" numFmtId="0" hierarchy="5" level="1">
      <sharedItems containsSemiMixedTypes="0" containsNonDate="0" containsString="0"/>
    </cacheField>
  </cacheFields>
  <cacheHierarchies count="21">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Country]" caption="Country" attribute="1" defaultMemberUniqueName="[Range].[Country].[All]" allUniqueName="[Range].[Country].[All]" dimensionUniqueName="[Range]" displayFolder="" count="2" memberValueDatatype="130" unbalanced="0"/>
    <cacheHierarchy uniqueName="[Range].[Salary]" caption="Salary" attribute="1" defaultMemberUniqueName="[Range].[Salary].[All]" allUniqueName="[Range].[Salary].[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2" memberValueDatatype="20" unbalanced="0">
      <fieldsUsage count="2">
        <fieldUsage x="-1"/>
        <fieldUsage x="3"/>
      </fieldsUsage>
    </cacheHierarchy>
    <cacheHierarchy uniqueName="[Range].[Date of Joining]" caption="Date of Joining" attribute="1" time="1" defaultMemberUniqueName="[Range].[Date of Joining].[All]" allUniqueName="[Range].[Date of Joining].[All]" dimensionUniqueName="[Range]" displayFolder="" count="0" memberValueDatatype="7"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Email]" caption="Email" attribute="1" defaultMemberUniqueName="[Range].[Email].[All]" allUniqueName="[Range].[Emai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Max of Salary]" caption="Max of Salary" measure="1" displayFolder="" measureGroup="Range" count="0" hidden="1">
      <extLst>
        <ext xmlns:x15="http://schemas.microsoft.com/office/spreadsheetml/2010/11/main" uri="{B97F6D7D-B522-45F9-BDA1-12C45D357490}">
          <x15:cacheHierarchy aggregatedColumn="4"/>
        </ext>
      </extLst>
    </cacheHierarchy>
    <cacheHierarchy uniqueName="[Measures].[Min of Salary]" caption="Min of Salary" measure="1" displayFolder="" measureGroup="Range"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60512152775" backgroundQuery="1" createdVersion="8" refreshedVersion="8" minRefreshableVersion="3" recordCount="0" supportSubquery="1" supportAdvancedDrill="1" xr:uid="{D02D9F2A-D367-46A7-8E6F-1340CBC79BBF}">
  <cacheSource type="external" connectionId="1"/>
  <cacheFields count="3">
    <cacheField name="[Range].[Country].[Country]" caption="Country" numFmtId="0" hierarchy="3" level="1">
      <sharedItems count="5">
        <s v="Australia"/>
        <s v="Germany"/>
        <s v="India"/>
        <s v="UK"/>
        <s v="USA"/>
      </sharedItems>
    </cacheField>
    <cacheField name="[Range].[Performance Rating].[Performance Rating]" caption="Performance Rating" numFmtId="0" hierarchy="5"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Range].[Performance Rating].&amp;[1]"/>
            <x15:cachedUniqueName index="1" name="[Range].[Performance Rating].&amp;[2]"/>
            <x15:cachedUniqueName index="2" name="[Range].[Performance Rating].&amp;[3]"/>
            <x15:cachedUniqueName index="3" name="[Range].[Performance Rating].&amp;[4]"/>
            <x15:cachedUniqueName index="4" name="[Range].[Performance Rating].&amp;[5]"/>
          </x15:cachedUniqueNames>
        </ext>
      </extLst>
    </cacheField>
    <cacheField name="[Measures].[Count of Employee ID]" caption="Count of Employee ID" numFmtId="0" hierarchy="17" level="32767"/>
  </cacheFields>
  <cacheHierarchies count="21">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Salary]" caption="Salary" attribute="1" defaultMemberUniqueName="[Range].[Salary].[All]" allUniqueName="[Range].[Salary].[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2" memberValueDatatype="20" unbalanced="0">
      <fieldsUsage count="2">
        <fieldUsage x="-1"/>
        <fieldUsage x="1"/>
      </fieldsUsage>
    </cacheHierarchy>
    <cacheHierarchy uniqueName="[Range].[Date of Joining]" caption="Date of Joining" attribute="1" time="1" defaultMemberUniqueName="[Range].[Date of Joining].[All]" allUniqueName="[Range].[Date of Joining].[All]" dimensionUniqueName="[Range]" displayFolder="" count="0" memberValueDatatype="7" unbalanced="0"/>
    <cacheHierarchy uniqueName="[Range].[Gender]" caption="Gender" attribute="1" defaultMemberUniqueName="[Range].[Gender].[All]" allUniqueName="[Range].[Gender].[All]" dimensionUniqueName="[Range]" displayFolder="" count="2" memberValueDatatype="130" unbalanced="0"/>
    <cacheHierarchy uniqueName="[Range].[Email]" caption="Email" attribute="1" defaultMemberUniqueName="[Range].[Email].[All]" allUniqueName="[Range].[Emai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7"/>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Count of Employee ID]" caption="Count of Employee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Max of Salary]" caption="Max of Salary" measure="1" displayFolder="" measureGroup="Range" count="0" hidden="1">
      <extLst>
        <ext xmlns:x15="http://schemas.microsoft.com/office/spreadsheetml/2010/11/main" uri="{B97F6D7D-B522-45F9-BDA1-12C45D357490}">
          <x15:cacheHierarchy aggregatedColumn="4"/>
        </ext>
      </extLst>
    </cacheHierarchy>
    <cacheHierarchy uniqueName="[Measures].[Min of Salary]" caption="Min of Salary" measure="1" displayFolder="" measureGroup="Range"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60512499999" backgroundQuery="1" createdVersion="8" refreshedVersion="8" minRefreshableVersion="3" recordCount="0" supportSubquery="1" supportAdvancedDrill="1" xr:uid="{6E736DC1-DFDE-4B10-A67E-AEB380255114}">
  <cacheSource type="external" connectionId="1"/>
  <cacheFields count="3">
    <cacheField name="[Range].[Country].[Country]" caption="Country" numFmtId="0" hierarchy="3" level="1">
      <sharedItems count="5">
        <s v="Australia"/>
        <s v="Germany"/>
        <s v="India"/>
        <s v="UK"/>
        <s v="USA"/>
      </sharedItems>
    </cacheField>
    <cacheField name="[Measures].[Average of Salary]" caption="Average of Salary" numFmtId="0" hierarchy="12" level="32767"/>
    <cacheField name="[Range].[Performance Rating].[Performance Rating]" caption="Performance Rating" numFmtId="0" hierarchy="5" level="1">
      <sharedItems containsSemiMixedTypes="0" containsNonDate="0" containsString="0"/>
    </cacheField>
  </cacheFields>
  <cacheHierarchies count="21">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Salary]" caption="Salary" attribute="1" defaultMemberUniqueName="[Range].[Salary].[All]" allUniqueName="[Range].[Salary].[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2" memberValueDatatype="20" unbalanced="0">
      <fieldsUsage count="2">
        <fieldUsage x="-1"/>
        <fieldUsage x="2"/>
      </fieldsUsage>
    </cacheHierarchy>
    <cacheHierarchy uniqueName="[Range].[Date of Joining]" caption="Date of Joining" attribute="1" time="1" defaultMemberUniqueName="[Range].[Date of Joining].[All]" allUniqueName="[Range].[Date of Joining].[All]" dimensionUniqueName="[Range]" displayFolder="" count="0" memberValueDatatype="7" unbalanced="0"/>
    <cacheHierarchy uniqueName="[Range].[Gender]" caption="Gender" attribute="1" defaultMemberUniqueName="[Range].[Gender].[All]" allUniqueName="[Range].[Gender].[All]" dimensionUniqueName="[Range]" displayFolder="" count="2" memberValueDatatype="130" unbalanced="0"/>
    <cacheHierarchy uniqueName="[Range].[Email]" caption="Email" attribute="1" defaultMemberUniqueName="[Range].[Email].[All]" allUniqueName="[Range].[Emai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7"/>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Max of Salary]" caption="Max of Salary" measure="1" displayFolder="" measureGroup="Range" count="0" hidden="1">
      <extLst>
        <ext xmlns:x15="http://schemas.microsoft.com/office/spreadsheetml/2010/11/main" uri="{B97F6D7D-B522-45F9-BDA1-12C45D357490}">
          <x15:cacheHierarchy aggregatedColumn="4"/>
        </ext>
      </extLst>
    </cacheHierarchy>
    <cacheHierarchy uniqueName="[Measures].[Min of Salary]" caption="Min of Salary" measure="1" displayFolder="" measureGroup="Range"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60512962961" backgroundQuery="1" createdVersion="8" refreshedVersion="8" minRefreshableVersion="3" recordCount="0" supportSubquery="1" supportAdvancedDrill="1" xr:uid="{81DF616D-C45A-48DF-B5A7-06B3B4340190}">
  <cacheSource type="external" connectionId="1"/>
  <cacheFields count="4">
    <cacheField name="[Range].[Department].[Department]" caption="Department" numFmtId="0" hierarchy="2" level="1">
      <sharedItems count="5">
        <s v="Finance"/>
        <s v="HR"/>
        <s v="IT"/>
        <s v="Marketing"/>
        <s v="Sales"/>
      </sharedItems>
    </cacheField>
    <cacheField name="[Range].[Country].[Country]" caption="Country" numFmtId="0" hierarchy="3" level="1">
      <sharedItems count="5">
        <s v="Australia"/>
        <s v="Germany"/>
        <s v="India"/>
        <s v="UK"/>
        <s v="USA"/>
      </sharedItems>
    </cacheField>
    <cacheField name="[Measures].[Count of Country]" caption="Count of Country" numFmtId="0" hierarchy="20" level="32767"/>
    <cacheField name="[Range].[Performance Rating].[Performance Rating]" caption="Performance Rating" numFmtId="0" hierarchy="5" level="1">
      <sharedItems containsSemiMixedTypes="0" containsNonDate="0" containsString="0"/>
    </cacheField>
  </cacheFields>
  <cacheHierarchies count="21">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1"/>
      </fieldsUsage>
    </cacheHierarchy>
    <cacheHierarchy uniqueName="[Range].[Salary]" caption="Salary" attribute="1" defaultMemberUniqueName="[Range].[Salary].[All]" allUniqueName="[Range].[Salary].[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2" memberValueDatatype="20" unbalanced="0">
      <fieldsUsage count="2">
        <fieldUsage x="-1"/>
        <fieldUsage x="3"/>
      </fieldsUsage>
    </cacheHierarchy>
    <cacheHierarchy uniqueName="[Range].[Date of Joining]" caption="Date of Joining" attribute="1" time="1" defaultMemberUniqueName="[Range].[Date of Joining].[All]" allUniqueName="[Range].[Date of Joining].[All]" dimensionUniqueName="[Range]" displayFolder="" count="0" memberValueDatatype="7" unbalanced="0"/>
    <cacheHierarchy uniqueName="[Range].[Gender]" caption="Gender" attribute="1" defaultMemberUniqueName="[Range].[Gender].[All]" allUniqueName="[Range].[Gender].[All]" dimensionUniqueName="[Range]" displayFolder="" count="2" memberValueDatatype="130" unbalanced="0"/>
    <cacheHierarchy uniqueName="[Range].[Email]" caption="Email" attribute="1" defaultMemberUniqueName="[Range].[Email].[All]" allUniqueName="[Range].[Emai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7"/>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Max of Salary]" caption="Max of Salary" measure="1" displayFolder="" measureGroup="Range" count="0" hidden="1">
      <extLst>
        <ext xmlns:x15="http://schemas.microsoft.com/office/spreadsheetml/2010/11/main" uri="{B97F6D7D-B522-45F9-BDA1-12C45D357490}">
          <x15:cacheHierarchy aggregatedColumn="4"/>
        </ext>
      </extLst>
    </cacheHierarchy>
    <cacheHierarchy uniqueName="[Measures].[Min of Salary]" caption="Min of Salary" measure="1" displayFolder="" measureGroup="Range"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731744444442" backgroundQuery="1" createdVersion="3" refreshedVersion="8" minRefreshableVersion="3" recordCount="0" supportSubquery="1" supportAdvancedDrill="1" xr:uid="{205B8703-05C4-4822-A018-94E95ED3263A}">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Salary]" caption="Salary" attribute="1" defaultMemberUniqueName="[Range].[Salary].[All]" allUniqueName="[Range].[Salary].[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2" memberValueDatatype="20" unbalanced="0"/>
    <cacheHierarchy uniqueName="[Range].[Date of Joining]" caption="Date of Joining" attribute="1" time="1" defaultMemberUniqueName="[Range].[Date of Joining].[All]" allUniqueName="[Range].[Date of Joining].[All]" dimensionUniqueName="[Range]" displayFolder="" count="2" memberValueDatatype="7" unbalanced="0"/>
    <cacheHierarchy uniqueName="[Range].[Gender]" caption="Gender" attribute="1" defaultMemberUniqueName="[Range].[Gender].[All]" allUniqueName="[Range].[Gender].[All]" dimensionUniqueName="[Range]" displayFolder="" count="2" memberValueDatatype="130" unbalanced="0"/>
    <cacheHierarchy uniqueName="[Range].[Email]" caption="Email" attribute="1" defaultMemberUniqueName="[Range].[Email].[All]" allUniqueName="[Range].[Emai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7"/>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Max of Salary]" caption="Max of Salary" measure="1" displayFolder="" measureGroup="Range" count="0" hidden="1">
      <extLst>
        <ext xmlns:x15="http://schemas.microsoft.com/office/spreadsheetml/2010/11/main" uri="{B97F6D7D-B522-45F9-BDA1-12C45D357490}">
          <x15:cacheHierarchy aggregatedColumn="4"/>
        </ext>
      </extLst>
    </cacheHierarchy>
    <cacheHierarchy uniqueName="[Measures].[Min of Salary]" caption="Min of Salary" measure="1" displayFolder="" measureGroup="Rang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9093596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BFF6FB-CD5A-4F26-A751-E32BBAA5926A}"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1:G26"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6">
    <i>
      <x/>
    </i>
    <i>
      <x v="1"/>
    </i>
    <i>
      <x v="2"/>
    </i>
    <i>
      <x v="3"/>
    </i>
    <i>
      <x v="4"/>
    </i>
    <i t="grand">
      <x/>
    </i>
  </colItems>
  <dataFields count="1">
    <dataField name="Count of Gender" fld="2" subtotal="count" baseField="0" baseItem="0"/>
  </dataFields>
  <chartFormats count="10">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 chart="4" format="3" series="1">
      <pivotArea type="data" outline="0" fieldPosition="0">
        <references count="2">
          <reference field="4294967294" count="1" selected="0">
            <x v="0"/>
          </reference>
          <reference field="1" count="1" selected="0">
            <x v="3"/>
          </reference>
        </references>
      </pivotArea>
    </chartFormat>
    <chartFormat chart="4" format="4" series="1">
      <pivotArea type="data" outline="0" fieldPosition="0">
        <references count="2">
          <reference field="4294967294" count="1" selected="0">
            <x v="0"/>
          </reference>
          <reference field="1" count="1" selected="0">
            <x v="4"/>
          </reference>
        </references>
      </pivotArea>
    </chartFormat>
    <chartFormat chart="11" format="10" series="1">
      <pivotArea type="data" outline="0" fieldPosition="0">
        <references count="2">
          <reference field="4294967294" count="1" selected="0">
            <x v="0"/>
          </reference>
          <reference field="1" count="1" selected="0">
            <x v="0"/>
          </reference>
        </references>
      </pivotArea>
    </chartFormat>
    <chartFormat chart="11" format="11" series="1">
      <pivotArea type="data" outline="0" fieldPosition="0">
        <references count="2">
          <reference field="4294967294" count="1" selected="0">
            <x v="0"/>
          </reference>
          <reference field="1" count="1" selected="0">
            <x v="1"/>
          </reference>
        </references>
      </pivotArea>
    </chartFormat>
    <chartFormat chart="11" format="12" series="1">
      <pivotArea type="data" outline="0" fieldPosition="0">
        <references count="2">
          <reference field="4294967294" count="1" selected="0">
            <x v="0"/>
          </reference>
          <reference field="1" count="1" selected="0">
            <x v="2"/>
          </reference>
        </references>
      </pivotArea>
    </chartFormat>
    <chartFormat chart="11" format="13" series="1">
      <pivotArea type="data" outline="0" fieldPosition="0">
        <references count="2">
          <reference field="4294967294" count="1" selected="0">
            <x v="0"/>
          </reference>
          <reference field="1" count="1" selected="0">
            <x v="3"/>
          </reference>
        </references>
      </pivotArea>
    </chartFormat>
    <chartFormat chart="11" format="14" series="1">
      <pivotArea type="data" outline="0" fieldPosition="0">
        <references count="2">
          <reference field="4294967294" count="1" selected="0">
            <x v="0"/>
          </reference>
          <reference field="1" count="1" selected="0">
            <x v="4"/>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I$1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7A6E79-63E6-4262-A4FE-8D92E630A77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Salary" fld="1" subtotal="average" baseField="0" baseItem="0"/>
  </dataField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I$1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BA0E7D-534E-45F6-8ABF-250732898FFE}" name="PivotTable9"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94:F100"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x v="4"/>
    </i>
  </rowItems>
  <colFields count="1">
    <field x="0"/>
  </colFields>
  <colItems count="5">
    <i>
      <x/>
    </i>
    <i>
      <x v="1"/>
    </i>
    <i>
      <x v="2"/>
    </i>
    <i>
      <x v="3"/>
    </i>
    <i>
      <x v="4"/>
    </i>
  </colItems>
  <dataFields count="1">
    <dataField name="Count of Country" fld="2" subtotal="count" baseField="0" baseItem="0"/>
  </dataFields>
  <chartFormats count="12">
    <chartFormat chart="26" format="0" series="1">
      <pivotArea type="data" outline="0" fieldPosition="0">
        <references count="2">
          <reference field="4294967294" count="1" selected="0">
            <x v="0"/>
          </reference>
          <reference field="0" count="1" selected="0">
            <x v="0"/>
          </reference>
        </references>
      </pivotArea>
    </chartFormat>
    <chartFormat chart="26" format="1" series="1">
      <pivotArea type="data" outline="0" fieldPosition="0">
        <references count="2">
          <reference field="4294967294" count="1" selected="0">
            <x v="0"/>
          </reference>
          <reference field="0" count="1" selected="0">
            <x v="1"/>
          </reference>
        </references>
      </pivotArea>
    </chartFormat>
    <chartFormat chart="26" format="2" series="1">
      <pivotArea type="data" outline="0" fieldPosition="0">
        <references count="2">
          <reference field="4294967294" count="1" selected="0">
            <x v="0"/>
          </reference>
          <reference field="0" count="1" selected="0">
            <x v="2"/>
          </reference>
        </references>
      </pivotArea>
    </chartFormat>
    <chartFormat chart="26" format="3" series="1">
      <pivotArea type="data" outline="0" fieldPosition="0">
        <references count="2">
          <reference field="4294967294" count="1" selected="0">
            <x v="0"/>
          </reference>
          <reference field="0" count="1" selected="0">
            <x v="3"/>
          </reference>
        </references>
      </pivotArea>
    </chartFormat>
    <chartFormat chart="26" format="4" series="1">
      <pivotArea type="data" outline="0" fieldPosition="0">
        <references count="2">
          <reference field="4294967294" count="1" selected="0">
            <x v="0"/>
          </reference>
          <reference field="0" count="1" selected="0">
            <x v="4"/>
          </reference>
        </references>
      </pivotArea>
    </chartFormat>
    <chartFormat chart="33" format="10" series="1">
      <pivotArea type="data" outline="0" fieldPosition="0">
        <references count="2">
          <reference field="4294967294" count="1" selected="0">
            <x v="0"/>
          </reference>
          <reference field="0" count="1" selected="0">
            <x v="0"/>
          </reference>
        </references>
      </pivotArea>
    </chartFormat>
    <chartFormat chart="33" format="11" series="1">
      <pivotArea type="data" outline="0" fieldPosition="0">
        <references count="2">
          <reference field="4294967294" count="1" selected="0">
            <x v="0"/>
          </reference>
          <reference field="0" count="1" selected="0">
            <x v="1"/>
          </reference>
        </references>
      </pivotArea>
    </chartFormat>
    <chartFormat chart="33" format="12" series="1">
      <pivotArea type="data" outline="0" fieldPosition="0">
        <references count="2">
          <reference field="4294967294" count="1" selected="0">
            <x v="0"/>
          </reference>
          <reference field="0" count="1" selected="0">
            <x v="2"/>
          </reference>
        </references>
      </pivotArea>
    </chartFormat>
    <chartFormat chart="33" format="13" series="1">
      <pivotArea type="data" outline="0" fieldPosition="0">
        <references count="2">
          <reference field="4294967294" count="1" selected="0">
            <x v="0"/>
          </reference>
          <reference field="0" count="1" selected="0">
            <x v="3"/>
          </reference>
        </references>
      </pivotArea>
    </chartFormat>
    <chartFormat chart="33" format="14" series="1">
      <pivotArea type="data" outline="0" fieldPosition="0">
        <references count="2">
          <reference field="4294967294" count="1" selected="0">
            <x v="0"/>
          </reference>
          <reference field="0" count="1" selected="0">
            <x v="4"/>
          </reference>
        </references>
      </pivotArea>
    </chartFormat>
    <chartFormat chart="33" format="15"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pivotHierarchy dragToData="1" caption="Average of Performance Rating"/>
    <pivotHierarchy dragToData="1"/>
    <pivotHierarchy dragToData="1" caption="Max of Salary"/>
    <pivotHierarchy dragToData="1" caption="Min of Salary"/>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I$1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CB59B6-7786-4135-8593-4F384EAD06CA}"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I57:J6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Average of Performance Rating" fld="1" subtotal="average" baseField="0" baseItem="0" numFmtId="2"/>
  </dataFields>
  <formats count="1">
    <format dxfId="0">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2"/>
          </reference>
        </references>
      </pivotArea>
    </chartFormat>
    <chartFormat chart="4" format="5">
      <pivotArea type="data" outline="0" fieldPosition="0">
        <references count="2">
          <reference field="4294967294" count="1" selected="0">
            <x v="0"/>
          </reference>
          <reference field="0" count="1" selected="0">
            <x v="3"/>
          </reference>
        </references>
      </pivotArea>
    </chartFormat>
    <chartFormat chart="4" format="6">
      <pivotArea type="data" outline="0" fieldPosition="0">
        <references count="2">
          <reference field="4294967294" count="1" selected="0">
            <x v="0"/>
          </reference>
          <reference field="0" count="1" selected="0">
            <x v="4"/>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5"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erformance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I$1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4F2812-36E8-4D50-B708-2B7C34B6E683}" name="PivotTable8"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72:B7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Average of Salary" fld="1" subtotal="average" baseField="0" baseItem="0" numFmtId="1"/>
  </dataFields>
  <formats count="1">
    <format dxfId="1">
      <pivotArea outline="0" collapsedLevelsAreSubtotals="1" fieldPosition="0"/>
    </format>
  </formats>
  <chartFormats count="24">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0" count="1" selected="0">
            <x v="0"/>
          </reference>
        </references>
      </pivotArea>
    </chartFormat>
    <chartFormat chart="18" format="2">
      <pivotArea type="data" outline="0" fieldPosition="0">
        <references count="2">
          <reference field="4294967294" count="1" selected="0">
            <x v="0"/>
          </reference>
          <reference field="0" count="1" selected="0">
            <x v="1"/>
          </reference>
        </references>
      </pivotArea>
    </chartFormat>
    <chartFormat chart="18" format="3">
      <pivotArea type="data" outline="0" fieldPosition="0">
        <references count="2">
          <reference field="4294967294" count="1" selected="0">
            <x v="0"/>
          </reference>
          <reference field="0" count="1" selected="0">
            <x v="2"/>
          </reference>
        </references>
      </pivotArea>
    </chartFormat>
    <chartFormat chart="18" format="4">
      <pivotArea type="data" outline="0" fieldPosition="0">
        <references count="2">
          <reference field="4294967294" count="1" selected="0">
            <x v="0"/>
          </reference>
          <reference field="0" count="1" selected="0">
            <x v="3"/>
          </reference>
        </references>
      </pivotArea>
    </chartFormat>
    <chartFormat chart="18" format="5">
      <pivotArea type="data" outline="0" fieldPosition="0">
        <references count="2">
          <reference field="4294967294" count="1" selected="0">
            <x v="0"/>
          </reference>
          <reference field="0" count="1" selected="0">
            <x v="4"/>
          </reference>
        </references>
      </pivotArea>
    </chartFormat>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0" count="1" selected="0">
            <x v="0"/>
          </reference>
        </references>
      </pivotArea>
    </chartFormat>
    <chartFormat chart="25" format="14">
      <pivotArea type="data" outline="0" fieldPosition="0">
        <references count="2">
          <reference field="4294967294" count="1" selected="0">
            <x v="0"/>
          </reference>
          <reference field="0" count="1" selected="0">
            <x v="1"/>
          </reference>
        </references>
      </pivotArea>
    </chartFormat>
    <chartFormat chart="25" format="15">
      <pivotArea type="data" outline="0" fieldPosition="0">
        <references count="2">
          <reference field="4294967294" count="1" selected="0">
            <x v="0"/>
          </reference>
          <reference field="0" count="1" selected="0">
            <x v="2"/>
          </reference>
        </references>
      </pivotArea>
    </chartFormat>
    <chartFormat chart="25" format="16">
      <pivotArea type="data" outline="0" fieldPosition="0">
        <references count="2">
          <reference field="4294967294" count="1" selected="0">
            <x v="0"/>
          </reference>
          <reference field="0" count="1" selected="0">
            <x v="3"/>
          </reference>
        </references>
      </pivotArea>
    </chartFormat>
    <chartFormat chart="25" format="17">
      <pivotArea type="data" outline="0" fieldPosition="0">
        <references count="2">
          <reference field="4294967294" count="1" selected="0">
            <x v="0"/>
          </reference>
          <reference field="0" count="1" selected="0">
            <x v="4"/>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0" count="1" selected="0">
            <x v="0"/>
          </reference>
        </references>
      </pivotArea>
    </chartFormat>
    <chartFormat chart="26" format="8">
      <pivotArea type="data" outline="0" fieldPosition="0">
        <references count="2">
          <reference field="4294967294" count="1" selected="0">
            <x v="0"/>
          </reference>
          <reference field="0" count="1" selected="0">
            <x v="1"/>
          </reference>
        </references>
      </pivotArea>
    </chartFormat>
    <chartFormat chart="26" format="9">
      <pivotArea type="data" outline="0" fieldPosition="0">
        <references count="2">
          <reference field="4294967294" count="1" selected="0">
            <x v="0"/>
          </reference>
          <reference field="0" count="1" selected="0">
            <x v="2"/>
          </reference>
        </references>
      </pivotArea>
    </chartFormat>
    <chartFormat chart="26" format="10">
      <pivotArea type="data" outline="0" fieldPosition="0">
        <references count="2">
          <reference field="4294967294" count="1" selected="0">
            <x v="0"/>
          </reference>
          <reference field="0" count="1" selected="0">
            <x v="3"/>
          </reference>
        </references>
      </pivotArea>
    </chartFormat>
    <chartFormat chart="26" format="11">
      <pivotArea type="data" outline="0" fieldPosition="0">
        <references count="2">
          <reference field="4294967294" count="1" selected="0">
            <x v="0"/>
          </reference>
          <reference field="0" count="1" selected="0">
            <x v="4"/>
          </reference>
        </references>
      </pivotArea>
    </chartFormat>
    <chartFormat chart="28" format="12" series="1">
      <pivotArea type="data" outline="0" fieldPosition="0">
        <references count="1">
          <reference field="4294967294" count="1" selected="0">
            <x v="0"/>
          </reference>
        </references>
      </pivotArea>
    </chartFormat>
    <chartFormat chart="28" format="13">
      <pivotArea type="data" outline="0" fieldPosition="0">
        <references count="2">
          <reference field="4294967294" count="1" selected="0">
            <x v="0"/>
          </reference>
          <reference field="0" count="1" selected="0">
            <x v="0"/>
          </reference>
        </references>
      </pivotArea>
    </chartFormat>
    <chartFormat chart="28" format="14">
      <pivotArea type="data" outline="0" fieldPosition="0">
        <references count="2">
          <reference field="4294967294" count="1" selected="0">
            <x v="0"/>
          </reference>
          <reference field="0" count="1" selected="0">
            <x v="1"/>
          </reference>
        </references>
      </pivotArea>
    </chartFormat>
    <chartFormat chart="28" format="15">
      <pivotArea type="data" outline="0" fieldPosition="0">
        <references count="2">
          <reference field="4294967294" count="1" selected="0">
            <x v="0"/>
          </reference>
          <reference field="0" count="1" selected="0">
            <x v="2"/>
          </reference>
        </references>
      </pivotArea>
    </chartFormat>
    <chartFormat chart="28" format="16">
      <pivotArea type="data" outline="0" fieldPosition="0">
        <references count="2">
          <reference field="4294967294" count="1" selected="0">
            <x v="0"/>
          </reference>
          <reference field="0" count="1" selected="0">
            <x v="3"/>
          </reference>
        </references>
      </pivotArea>
    </chartFormat>
    <chartFormat chart="28" format="17">
      <pivotArea type="data" outline="0" fieldPosition="0">
        <references count="2">
          <reference field="4294967294" count="1" selected="0">
            <x v="0"/>
          </reference>
          <reference field="0" count="1" selected="0">
            <x v="4"/>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pivotHierarchy dragToData="1" caption="Average of Performance Rating"/>
    <pivotHierarchy dragToData="1"/>
    <pivotHierarchy dragToData="1" caption="Max of Salary"/>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I$1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0F44F7-F75C-43C2-9449-27848EF4649C}" name="PivotTable6"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5:F41"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Fields count="1">
    <field x="1"/>
  </colFields>
  <colItems count="5">
    <i>
      <x/>
    </i>
    <i>
      <x v="1"/>
    </i>
    <i>
      <x v="2"/>
    </i>
    <i>
      <x v="3"/>
    </i>
    <i>
      <x v="4"/>
    </i>
  </colItems>
  <dataFields count="1">
    <dataField name="Count of Employee ID" fld="2" subtotal="count" baseField="0" baseItem="0"/>
  </dataFields>
  <chartFormats count="66">
    <chartFormat chart="9" format="1" series="1">
      <pivotArea type="data" outline="0" fieldPosition="0">
        <references count="1">
          <reference field="1" count="1" selected="0">
            <x v="1"/>
          </reference>
        </references>
      </pivotArea>
    </chartFormat>
    <chartFormat chart="9" format="2" series="1">
      <pivotArea type="data" outline="0" fieldPosition="0">
        <references count="1">
          <reference field="1" count="1" selected="0">
            <x v="2"/>
          </reference>
        </references>
      </pivotArea>
    </chartFormat>
    <chartFormat chart="9" format="3" series="1">
      <pivotArea type="data" outline="0" fieldPosition="0">
        <references count="1">
          <reference field="1" count="1" selected="0">
            <x v="3"/>
          </reference>
        </references>
      </pivotArea>
    </chartFormat>
    <chartFormat chart="9" format="4" series="1">
      <pivotArea type="data" outline="0" fieldPosition="0">
        <references count="1">
          <reference field="1" count="1" selected="0">
            <x v="4"/>
          </reference>
        </references>
      </pivotArea>
    </chartFormat>
    <chartFormat chart="9" format="5" series="1">
      <pivotArea type="data" outline="0" fieldPosition="0">
        <references count="1">
          <reference field="1" count="1" selected="0">
            <x v="0"/>
          </reference>
        </references>
      </pivotArea>
    </chartFormat>
    <chartFormat chart="9" format="6" series="1">
      <pivotArea type="data" outline="0" fieldPosition="0">
        <references count="2">
          <reference field="4294967294" count="1" selected="0">
            <x v="0"/>
          </reference>
          <reference field="1" count="1" selected="0">
            <x v="0"/>
          </reference>
        </references>
      </pivotArea>
    </chartFormat>
    <chartFormat chart="9" format="7" series="1">
      <pivotArea type="data" outline="0" fieldPosition="0">
        <references count="2">
          <reference field="4294967294" count="1" selected="0">
            <x v="0"/>
          </reference>
          <reference field="1" count="1" selected="0">
            <x v="1"/>
          </reference>
        </references>
      </pivotArea>
    </chartFormat>
    <chartFormat chart="9" format="8" series="1">
      <pivotArea type="data" outline="0" fieldPosition="0">
        <references count="2">
          <reference field="4294967294" count="1" selected="0">
            <x v="0"/>
          </reference>
          <reference field="1" count="1" selected="0">
            <x v="2"/>
          </reference>
        </references>
      </pivotArea>
    </chartFormat>
    <chartFormat chart="9" format="9" series="1">
      <pivotArea type="data" outline="0" fieldPosition="0">
        <references count="2">
          <reference field="4294967294" count="1" selected="0">
            <x v="0"/>
          </reference>
          <reference field="1" count="1" selected="0">
            <x v="3"/>
          </reference>
        </references>
      </pivotArea>
    </chartFormat>
    <chartFormat chart="9" format="10" series="1">
      <pivotArea type="data" outline="0" fieldPosition="0">
        <references count="2">
          <reference field="4294967294" count="1" selected="0">
            <x v="0"/>
          </reference>
          <reference field="1" count="1" selected="0">
            <x v="4"/>
          </reference>
        </references>
      </pivotArea>
    </chartFormat>
    <chartFormat chart="9" format="11">
      <pivotArea type="data" outline="0" fieldPosition="0">
        <references count="3">
          <reference field="4294967294" count="1" selected="0">
            <x v="0"/>
          </reference>
          <reference field="0" count="1" selected="0">
            <x v="0"/>
          </reference>
          <reference field="1" count="1" selected="0">
            <x v="0"/>
          </reference>
        </references>
      </pivotArea>
    </chartFormat>
    <chartFormat chart="9" format="12">
      <pivotArea type="data" outline="0" fieldPosition="0">
        <references count="3">
          <reference field="4294967294" count="1" selected="0">
            <x v="0"/>
          </reference>
          <reference field="0" count="1" selected="0">
            <x v="1"/>
          </reference>
          <reference field="1" count="1" selected="0">
            <x v="0"/>
          </reference>
        </references>
      </pivotArea>
    </chartFormat>
    <chartFormat chart="9" format="13">
      <pivotArea type="data" outline="0" fieldPosition="0">
        <references count="3">
          <reference field="4294967294" count="1" selected="0">
            <x v="0"/>
          </reference>
          <reference field="0" count="1" selected="0">
            <x v="2"/>
          </reference>
          <reference field="1" count="1" selected="0">
            <x v="0"/>
          </reference>
        </references>
      </pivotArea>
    </chartFormat>
    <chartFormat chart="9" format="14">
      <pivotArea type="data" outline="0" fieldPosition="0">
        <references count="3">
          <reference field="4294967294" count="1" selected="0">
            <x v="0"/>
          </reference>
          <reference field="0" count="1" selected="0">
            <x v="3"/>
          </reference>
          <reference field="1" count="1" selected="0">
            <x v="0"/>
          </reference>
        </references>
      </pivotArea>
    </chartFormat>
    <chartFormat chart="9" format="15">
      <pivotArea type="data" outline="0" fieldPosition="0">
        <references count="3">
          <reference field="4294967294" count="1" selected="0">
            <x v="0"/>
          </reference>
          <reference field="0" count="1" selected="0">
            <x v="4"/>
          </reference>
          <reference field="1" count="1" selected="0">
            <x v="0"/>
          </reference>
        </references>
      </pivotArea>
    </chartFormat>
    <chartFormat chart="9" format="16">
      <pivotArea type="data" outline="0" fieldPosition="0">
        <references count="3">
          <reference field="4294967294" count="1" selected="0">
            <x v="0"/>
          </reference>
          <reference field="0" count="1" selected="0">
            <x v="0"/>
          </reference>
          <reference field="1" count="1" selected="0">
            <x v="1"/>
          </reference>
        </references>
      </pivotArea>
    </chartFormat>
    <chartFormat chart="9" format="17">
      <pivotArea type="data" outline="0" fieldPosition="0">
        <references count="3">
          <reference field="4294967294" count="1" selected="0">
            <x v="0"/>
          </reference>
          <reference field="0" count="1" selected="0">
            <x v="1"/>
          </reference>
          <reference field="1" count="1" selected="0">
            <x v="1"/>
          </reference>
        </references>
      </pivotArea>
    </chartFormat>
    <chartFormat chart="9" format="18">
      <pivotArea type="data" outline="0" fieldPosition="0">
        <references count="3">
          <reference field="4294967294" count="1" selected="0">
            <x v="0"/>
          </reference>
          <reference field="0" count="1" selected="0">
            <x v="2"/>
          </reference>
          <reference field="1" count="1" selected="0">
            <x v="1"/>
          </reference>
        </references>
      </pivotArea>
    </chartFormat>
    <chartFormat chart="9" format="19">
      <pivotArea type="data" outline="0" fieldPosition="0">
        <references count="3">
          <reference field="4294967294" count="1" selected="0">
            <x v="0"/>
          </reference>
          <reference field="0" count="1" selected="0">
            <x v="3"/>
          </reference>
          <reference field="1" count="1" selected="0">
            <x v="1"/>
          </reference>
        </references>
      </pivotArea>
    </chartFormat>
    <chartFormat chart="9" format="20">
      <pivotArea type="data" outline="0" fieldPosition="0">
        <references count="3">
          <reference field="4294967294" count="1" selected="0">
            <x v="0"/>
          </reference>
          <reference field="0" count="1" selected="0">
            <x v="4"/>
          </reference>
          <reference field="1" count="1" selected="0">
            <x v="1"/>
          </reference>
        </references>
      </pivotArea>
    </chartFormat>
    <chartFormat chart="9" format="21">
      <pivotArea type="data" outline="0" fieldPosition="0">
        <references count="3">
          <reference field="4294967294" count="1" selected="0">
            <x v="0"/>
          </reference>
          <reference field="0" count="1" selected="0">
            <x v="0"/>
          </reference>
          <reference field="1" count="1" selected="0">
            <x v="2"/>
          </reference>
        </references>
      </pivotArea>
    </chartFormat>
    <chartFormat chart="9" format="22">
      <pivotArea type="data" outline="0" fieldPosition="0">
        <references count="3">
          <reference field="4294967294" count="1" selected="0">
            <x v="0"/>
          </reference>
          <reference field="0" count="1" selected="0">
            <x v="1"/>
          </reference>
          <reference field="1" count="1" selected="0">
            <x v="2"/>
          </reference>
        </references>
      </pivotArea>
    </chartFormat>
    <chartFormat chart="9" format="23">
      <pivotArea type="data" outline="0" fieldPosition="0">
        <references count="3">
          <reference field="4294967294" count="1" selected="0">
            <x v="0"/>
          </reference>
          <reference field="0" count="1" selected="0">
            <x v="2"/>
          </reference>
          <reference field="1" count="1" selected="0">
            <x v="2"/>
          </reference>
        </references>
      </pivotArea>
    </chartFormat>
    <chartFormat chart="9" format="24">
      <pivotArea type="data" outline="0" fieldPosition="0">
        <references count="3">
          <reference field="4294967294" count="1" selected="0">
            <x v="0"/>
          </reference>
          <reference field="0" count="1" selected="0">
            <x v="3"/>
          </reference>
          <reference field="1" count="1" selected="0">
            <x v="2"/>
          </reference>
        </references>
      </pivotArea>
    </chartFormat>
    <chartFormat chart="9" format="25">
      <pivotArea type="data" outline="0" fieldPosition="0">
        <references count="3">
          <reference field="4294967294" count="1" selected="0">
            <x v="0"/>
          </reference>
          <reference field="0" count="1" selected="0">
            <x v="4"/>
          </reference>
          <reference field="1" count="1" selected="0">
            <x v="2"/>
          </reference>
        </references>
      </pivotArea>
    </chartFormat>
    <chartFormat chart="9" format="26">
      <pivotArea type="data" outline="0" fieldPosition="0">
        <references count="3">
          <reference field="4294967294" count="1" selected="0">
            <x v="0"/>
          </reference>
          <reference field="0" count="1" selected="0">
            <x v="0"/>
          </reference>
          <reference field="1" count="1" selected="0">
            <x v="3"/>
          </reference>
        </references>
      </pivotArea>
    </chartFormat>
    <chartFormat chart="9" format="27">
      <pivotArea type="data" outline="0" fieldPosition="0">
        <references count="3">
          <reference field="4294967294" count="1" selected="0">
            <x v="0"/>
          </reference>
          <reference field="0" count="1" selected="0">
            <x v="1"/>
          </reference>
          <reference field="1" count="1" selected="0">
            <x v="3"/>
          </reference>
        </references>
      </pivotArea>
    </chartFormat>
    <chartFormat chart="9" format="28">
      <pivotArea type="data" outline="0" fieldPosition="0">
        <references count="3">
          <reference field="4294967294" count="1" selected="0">
            <x v="0"/>
          </reference>
          <reference field="0" count="1" selected="0">
            <x v="2"/>
          </reference>
          <reference field="1" count="1" selected="0">
            <x v="3"/>
          </reference>
        </references>
      </pivotArea>
    </chartFormat>
    <chartFormat chart="9" format="29">
      <pivotArea type="data" outline="0" fieldPosition="0">
        <references count="3">
          <reference field="4294967294" count="1" selected="0">
            <x v="0"/>
          </reference>
          <reference field="0" count="1" selected="0">
            <x v="3"/>
          </reference>
          <reference field="1" count="1" selected="0">
            <x v="3"/>
          </reference>
        </references>
      </pivotArea>
    </chartFormat>
    <chartFormat chart="9" format="30">
      <pivotArea type="data" outline="0" fieldPosition="0">
        <references count="3">
          <reference field="4294967294" count="1" selected="0">
            <x v="0"/>
          </reference>
          <reference field="0" count="1" selected="0">
            <x v="4"/>
          </reference>
          <reference field="1" count="1" selected="0">
            <x v="3"/>
          </reference>
        </references>
      </pivotArea>
    </chartFormat>
    <chartFormat chart="9" format="31">
      <pivotArea type="data" outline="0" fieldPosition="0">
        <references count="3">
          <reference field="4294967294" count="1" selected="0">
            <x v="0"/>
          </reference>
          <reference field="0" count="1" selected="0">
            <x v="0"/>
          </reference>
          <reference field="1" count="1" selected="0">
            <x v="4"/>
          </reference>
        </references>
      </pivotArea>
    </chartFormat>
    <chartFormat chart="9" format="32">
      <pivotArea type="data" outline="0" fieldPosition="0">
        <references count="3">
          <reference field="4294967294" count="1" selected="0">
            <x v="0"/>
          </reference>
          <reference field="0" count="1" selected="0">
            <x v="1"/>
          </reference>
          <reference field="1" count="1" selected="0">
            <x v="4"/>
          </reference>
        </references>
      </pivotArea>
    </chartFormat>
    <chartFormat chart="9" format="33">
      <pivotArea type="data" outline="0" fieldPosition="0">
        <references count="3">
          <reference field="4294967294" count="1" selected="0">
            <x v="0"/>
          </reference>
          <reference field="0" count="1" selected="0">
            <x v="2"/>
          </reference>
          <reference field="1" count="1" selected="0">
            <x v="4"/>
          </reference>
        </references>
      </pivotArea>
    </chartFormat>
    <chartFormat chart="9" format="34">
      <pivotArea type="data" outline="0" fieldPosition="0">
        <references count="3">
          <reference field="4294967294" count="1" selected="0">
            <x v="0"/>
          </reference>
          <reference field="0" count="1" selected="0">
            <x v="3"/>
          </reference>
          <reference field="1" count="1" selected="0">
            <x v="4"/>
          </reference>
        </references>
      </pivotArea>
    </chartFormat>
    <chartFormat chart="9" format="35">
      <pivotArea type="data" outline="0" fieldPosition="0">
        <references count="3">
          <reference field="4294967294" count="1" selected="0">
            <x v="0"/>
          </reference>
          <reference field="0" count="1" selected="0">
            <x v="4"/>
          </reference>
          <reference field="1" count="1" selected="0">
            <x v="4"/>
          </reference>
        </references>
      </pivotArea>
    </chartFormat>
    <chartFormat chart="9" format="36" series="1">
      <pivotArea type="data" outline="0" fieldPosition="0">
        <references count="1">
          <reference field="4294967294" count="1" selected="0">
            <x v="0"/>
          </reference>
        </references>
      </pivotArea>
    </chartFormat>
    <chartFormat chart="14" format="97" series="1">
      <pivotArea type="data" outline="0" fieldPosition="0">
        <references count="2">
          <reference field="4294967294" count="1" selected="0">
            <x v="0"/>
          </reference>
          <reference field="1" count="1" selected="0">
            <x v="0"/>
          </reference>
        </references>
      </pivotArea>
    </chartFormat>
    <chartFormat chart="14" format="98">
      <pivotArea type="data" outline="0" fieldPosition="0">
        <references count="3">
          <reference field="4294967294" count="1" selected="0">
            <x v="0"/>
          </reference>
          <reference field="0" count="1" selected="0">
            <x v="0"/>
          </reference>
          <reference field="1" count="1" selected="0">
            <x v="0"/>
          </reference>
        </references>
      </pivotArea>
    </chartFormat>
    <chartFormat chart="14" format="99">
      <pivotArea type="data" outline="0" fieldPosition="0">
        <references count="3">
          <reference field="4294967294" count="1" selected="0">
            <x v="0"/>
          </reference>
          <reference field="0" count="1" selected="0">
            <x v="1"/>
          </reference>
          <reference field="1" count="1" selected="0">
            <x v="0"/>
          </reference>
        </references>
      </pivotArea>
    </chartFormat>
    <chartFormat chart="14" format="100">
      <pivotArea type="data" outline="0" fieldPosition="0">
        <references count="3">
          <reference field="4294967294" count="1" selected="0">
            <x v="0"/>
          </reference>
          <reference field="0" count="1" selected="0">
            <x v="2"/>
          </reference>
          <reference field="1" count="1" selected="0">
            <x v="0"/>
          </reference>
        </references>
      </pivotArea>
    </chartFormat>
    <chartFormat chart="14" format="101">
      <pivotArea type="data" outline="0" fieldPosition="0">
        <references count="3">
          <reference field="4294967294" count="1" selected="0">
            <x v="0"/>
          </reference>
          <reference field="0" count="1" selected="0">
            <x v="3"/>
          </reference>
          <reference field="1" count="1" selected="0">
            <x v="0"/>
          </reference>
        </references>
      </pivotArea>
    </chartFormat>
    <chartFormat chart="14" format="102">
      <pivotArea type="data" outline="0" fieldPosition="0">
        <references count="3">
          <reference field="4294967294" count="1" selected="0">
            <x v="0"/>
          </reference>
          <reference field="0" count="1" selected="0">
            <x v="4"/>
          </reference>
          <reference field="1" count="1" selected="0">
            <x v="0"/>
          </reference>
        </references>
      </pivotArea>
    </chartFormat>
    <chartFormat chart="14" format="103" series="1">
      <pivotArea type="data" outline="0" fieldPosition="0">
        <references count="2">
          <reference field="4294967294" count="1" selected="0">
            <x v="0"/>
          </reference>
          <reference field="1" count="1" selected="0">
            <x v="1"/>
          </reference>
        </references>
      </pivotArea>
    </chartFormat>
    <chartFormat chart="14" format="104">
      <pivotArea type="data" outline="0" fieldPosition="0">
        <references count="3">
          <reference field="4294967294" count="1" selected="0">
            <x v="0"/>
          </reference>
          <reference field="0" count="1" selected="0">
            <x v="0"/>
          </reference>
          <reference field="1" count="1" selected="0">
            <x v="1"/>
          </reference>
        </references>
      </pivotArea>
    </chartFormat>
    <chartFormat chart="14" format="105">
      <pivotArea type="data" outline="0" fieldPosition="0">
        <references count="3">
          <reference field="4294967294" count="1" selected="0">
            <x v="0"/>
          </reference>
          <reference field="0" count="1" selected="0">
            <x v="1"/>
          </reference>
          <reference field="1" count="1" selected="0">
            <x v="1"/>
          </reference>
        </references>
      </pivotArea>
    </chartFormat>
    <chartFormat chart="14" format="106">
      <pivotArea type="data" outline="0" fieldPosition="0">
        <references count="3">
          <reference field="4294967294" count="1" selected="0">
            <x v="0"/>
          </reference>
          <reference field="0" count="1" selected="0">
            <x v="2"/>
          </reference>
          <reference field="1" count="1" selected="0">
            <x v="1"/>
          </reference>
        </references>
      </pivotArea>
    </chartFormat>
    <chartFormat chart="14" format="107">
      <pivotArea type="data" outline="0" fieldPosition="0">
        <references count="3">
          <reference field="4294967294" count="1" selected="0">
            <x v="0"/>
          </reference>
          <reference field="0" count="1" selected="0">
            <x v="3"/>
          </reference>
          <reference field="1" count="1" selected="0">
            <x v="1"/>
          </reference>
        </references>
      </pivotArea>
    </chartFormat>
    <chartFormat chart="14" format="108">
      <pivotArea type="data" outline="0" fieldPosition="0">
        <references count="3">
          <reference field="4294967294" count="1" selected="0">
            <x v="0"/>
          </reference>
          <reference field="0" count="1" selected="0">
            <x v="4"/>
          </reference>
          <reference field="1" count="1" selected="0">
            <x v="1"/>
          </reference>
        </references>
      </pivotArea>
    </chartFormat>
    <chartFormat chart="14" format="109" series="1">
      <pivotArea type="data" outline="0" fieldPosition="0">
        <references count="2">
          <reference field="4294967294" count="1" selected="0">
            <x v="0"/>
          </reference>
          <reference field="1" count="1" selected="0">
            <x v="2"/>
          </reference>
        </references>
      </pivotArea>
    </chartFormat>
    <chartFormat chart="14" format="110">
      <pivotArea type="data" outline="0" fieldPosition="0">
        <references count="3">
          <reference field="4294967294" count="1" selected="0">
            <x v="0"/>
          </reference>
          <reference field="0" count="1" selected="0">
            <x v="0"/>
          </reference>
          <reference field="1" count="1" selected="0">
            <x v="2"/>
          </reference>
        </references>
      </pivotArea>
    </chartFormat>
    <chartFormat chart="14" format="111">
      <pivotArea type="data" outline="0" fieldPosition="0">
        <references count="3">
          <reference field="4294967294" count="1" selected="0">
            <x v="0"/>
          </reference>
          <reference field="0" count="1" selected="0">
            <x v="1"/>
          </reference>
          <reference field="1" count="1" selected="0">
            <x v="2"/>
          </reference>
        </references>
      </pivotArea>
    </chartFormat>
    <chartFormat chart="14" format="112">
      <pivotArea type="data" outline="0" fieldPosition="0">
        <references count="3">
          <reference field="4294967294" count="1" selected="0">
            <x v="0"/>
          </reference>
          <reference field="0" count="1" selected="0">
            <x v="2"/>
          </reference>
          <reference field="1" count="1" selected="0">
            <x v="2"/>
          </reference>
        </references>
      </pivotArea>
    </chartFormat>
    <chartFormat chart="14" format="113">
      <pivotArea type="data" outline="0" fieldPosition="0">
        <references count="3">
          <reference field="4294967294" count="1" selected="0">
            <x v="0"/>
          </reference>
          <reference field="0" count="1" selected="0">
            <x v="3"/>
          </reference>
          <reference field="1" count="1" selected="0">
            <x v="2"/>
          </reference>
        </references>
      </pivotArea>
    </chartFormat>
    <chartFormat chart="14" format="114">
      <pivotArea type="data" outline="0" fieldPosition="0">
        <references count="3">
          <reference field="4294967294" count="1" selected="0">
            <x v="0"/>
          </reference>
          <reference field="0" count="1" selected="0">
            <x v="4"/>
          </reference>
          <reference field="1" count="1" selected="0">
            <x v="2"/>
          </reference>
        </references>
      </pivotArea>
    </chartFormat>
    <chartFormat chart="14" format="115" series="1">
      <pivotArea type="data" outline="0" fieldPosition="0">
        <references count="2">
          <reference field="4294967294" count="1" selected="0">
            <x v="0"/>
          </reference>
          <reference field="1" count="1" selected="0">
            <x v="3"/>
          </reference>
        </references>
      </pivotArea>
    </chartFormat>
    <chartFormat chart="14" format="116">
      <pivotArea type="data" outline="0" fieldPosition="0">
        <references count="3">
          <reference field="4294967294" count="1" selected="0">
            <x v="0"/>
          </reference>
          <reference field="0" count="1" selected="0">
            <x v="0"/>
          </reference>
          <reference field="1" count="1" selected="0">
            <x v="3"/>
          </reference>
        </references>
      </pivotArea>
    </chartFormat>
    <chartFormat chart="14" format="117">
      <pivotArea type="data" outline="0" fieldPosition="0">
        <references count="3">
          <reference field="4294967294" count="1" selected="0">
            <x v="0"/>
          </reference>
          <reference field="0" count="1" selected="0">
            <x v="1"/>
          </reference>
          <reference field="1" count="1" selected="0">
            <x v="3"/>
          </reference>
        </references>
      </pivotArea>
    </chartFormat>
    <chartFormat chart="14" format="118">
      <pivotArea type="data" outline="0" fieldPosition="0">
        <references count="3">
          <reference field="4294967294" count="1" selected="0">
            <x v="0"/>
          </reference>
          <reference field="0" count="1" selected="0">
            <x v="2"/>
          </reference>
          <reference field="1" count="1" selected="0">
            <x v="3"/>
          </reference>
        </references>
      </pivotArea>
    </chartFormat>
    <chartFormat chart="14" format="119">
      <pivotArea type="data" outline="0" fieldPosition="0">
        <references count="3">
          <reference field="4294967294" count="1" selected="0">
            <x v="0"/>
          </reference>
          <reference field="0" count="1" selected="0">
            <x v="3"/>
          </reference>
          <reference field="1" count="1" selected="0">
            <x v="3"/>
          </reference>
        </references>
      </pivotArea>
    </chartFormat>
    <chartFormat chart="14" format="120">
      <pivotArea type="data" outline="0" fieldPosition="0">
        <references count="3">
          <reference field="4294967294" count="1" selected="0">
            <x v="0"/>
          </reference>
          <reference field="0" count="1" selected="0">
            <x v="4"/>
          </reference>
          <reference field="1" count="1" selected="0">
            <x v="3"/>
          </reference>
        </references>
      </pivotArea>
    </chartFormat>
    <chartFormat chart="14" format="121" series="1">
      <pivotArea type="data" outline="0" fieldPosition="0">
        <references count="2">
          <reference field="4294967294" count="1" selected="0">
            <x v="0"/>
          </reference>
          <reference field="1" count="1" selected="0">
            <x v="4"/>
          </reference>
        </references>
      </pivotArea>
    </chartFormat>
    <chartFormat chart="14" format="122">
      <pivotArea type="data" outline="0" fieldPosition="0">
        <references count="3">
          <reference field="4294967294" count="1" selected="0">
            <x v="0"/>
          </reference>
          <reference field="0" count="1" selected="0">
            <x v="0"/>
          </reference>
          <reference field="1" count="1" selected="0">
            <x v="4"/>
          </reference>
        </references>
      </pivotArea>
    </chartFormat>
    <chartFormat chart="14" format="123">
      <pivotArea type="data" outline="0" fieldPosition="0">
        <references count="3">
          <reference field="4294967294" count="1" selected="0">
            <x v="0"/>
          </reference>
          <reference field="0" count="1" selected="0">
            <x v="1"/>
          </reference>
          <reference field="1" count="1" selected="0">
            <x v="4"/>
          </reference>
        </references>
      </pivotArea>
    </chartFormat>
    <chartFormat chart="14" format="124">
      <pivotArea type="data" outline="0" fieldPosition="0">
        <references count="3">
          <reference field="4294967294" count="1" selected="0">
            <x v="0"/>
          </reference>
          <reference field="0" count="1" selected="0">
            <x v="2"/>
          </reference>
          <reference field="1" count="1" selected="0">
            <x v="4"/>
          </reference>
        </references>
      </pivotArea>
    </chartFormat>
    <chartFormat chart="14" format="125">
      <pivotArea type="data" outline="0" fieldPosition="0">
        <references count="3">
          <reference field="4294967294" count="1" selected="0">
            <x v="0"/>
          </reference>
          <reference field="0" count="1" selected="0">
            <x v="3"/>
          </reference>
          <reference field="1" count="1" selected="0">
            <x v="4"/>
          </reference>
        </references>
      </pivotArea>
    </chartFormat>
    <chartFormat chart="14" format="126">
      <pivotArea type="data" outline="0" fieldPosition="0">
        <references count="3">
          <reference field="4294967294" count="1" selected="0">
            <x v="0"/>
          </reference>
          <reference field="0" count="1" selected="0">
            <x v="4"/>
          </reference>
          <reference field="1" count="1" selected="0">
            <x v="4"/>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pivotHierarchy dragToData="1" caption="Average of Performance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I$1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630E19A-679D-46BA-AD20-CF706059DB58}" sourceName="[Range].[Country]">
  <pivotTables>
    <pivotTable tabId="2" name="PivotTable4"/>
    <pivotTable tabId="2" name="PivotTable5"/>
    <pivotTable tabId="2" name="PivotTable6"/>
    <pivotTable tabId="2" name="PivotTable8"/>
    <pivotTable tabId="2" name="PivotTable9"/>
    <pivotTable tabId="2" name="PivotTable3"/>
  </pivotTables>
  <data>
    <olap pivotCacheId="909359628">
      <levels count="2">
        <level uniqueName="[Range].[Country].[(All)]" sourceCaption="(All)" count="0"/>
        <level uniqueName="[Range].[Country].[Country]" sourceCaption="Country" count="5">
          <ranges>
            <range startItem="0">
              <i n="[Range].[Country].&amp;[Australia]" c="Australia"/>
              <i n="[Range].[Country].&amp;[Germany]" c="Germany"/>
              <i n="[Range].[Country].&amp;[India]" c="India"/>
              <i n="[Range].[Country].&amp;[UK]" c="UK"/>
              <i n="[Range].[Country].&amp;[USA]" c="USA"/>
            </range>
          </ranges>
        </level>
      </levels>
      <selections count="1">
        <selection n="[Range].[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95CDC6B7-0947-4FCF-804A-0F58E949631A}" sourceName="[Range].[Performance Rating]">
  <pivotTables>
    <pivotTable tabId="2" name="PivotTable3"/>
    <pivotTable tabId="2" name="PivotTable4"/>
    <pivotTable tabId="2" name="PivotTable5"/>
    <pivotTable tabId="2" name="PivotTable6"/>
    <pivotTable tabId="2" name="PivotTable8"/>
    <pivotTable tabId="2" name="PivotTable9"/>
  </pivotTables>
  <data>
    <olap pivotCacheId="909359628">
      <levels count="2">
        <level uniqueName="[Range].[Performance Rating].[(All)]" sourceCaption="(All)" count="0"/>
        <level uniqueName="[Range].[Performance Rating].[Performance Rating]" sourceCaption="Performance Rating" count="5">
          <ranges>
            <range startItem="0">
              <i n="[Range].[Performance Rating].&amp;[1]" c="1"/>
              <i n="[Range].[Performance Rating].&amp;[2]" c="2"/>
              <i n="[Range].[Performance Rating].&amp;[3]" c="3"/>
              <i n="[Range].[Performance Rating].&amp;[4]" c="4"/>
              <i n="[Range].[Performance Rating].&amp;[5]" c="5"/>
            </range>
          </ranges>
        </level>
      </levels>
      <selections count="1">
        <selection n="[Range].[Performance Rating].[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E0B84C7-BEC8-479A-BC1E-C1CBE929E2C1}" sourceName="[Range].[Department]">
  <pivotTables>
    <pivotTable tabId="2" name="PivotTable3"/>
    <pivotTable tabId="2" name="PivotTable4"/>
    <pivotTable tabId="2" name="PivotTable5"/>
    <pivotTable tabId="2" name="PivotTable6"/>
    <pivotTable tabId="2" name="PivotTable8"/>
    <pivotTable tabId="2" name="PivotTable9"/>
  </pivotTables>
  <data>
    <olap pivotCacheId="909359628">
      <levels count="2">
        <level uniqueName="[Range].[Department].[(All)]" sourceCaption="(All)" count="0"/>
        <level uniqueName="[Range].[Department].[Department]" sourceCaption="Department" count="5">
          <ranges>
            <range startItem="0">
              <i n="[Range].[Department].&amp;[Finance]" c="Finance"/>
              <i n="[Range].[Department].&amp;[HR]" c="HR"/>
              <i n="[Range].[Department].&amp;[IT]" c="IT"/>
              <i n="[Range].[Department].&amp;[Marketing]" c="Marketing"/>
              <i n="[Range].[Department].&amp;[Sales]" c="Sales"/>
            </range>
          </ranges>
        </level>
      </levels>
      <selections count="1">
        <selection n="[Range].[Depart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471E076-0D0B-4009-93E5-4331F6FC7F87}" sourceName="[Range].[Gender]">
  <pivotTables>
    <pivotTable tabId="2" name="PivotTable3"/>
    <pivotTable tabId="2" name="PivotTable4"/>
    <pivotTable tabId="2" name="PivotTable5"/>
    <pivotTable tabId="2" name="PivotTable6"/>
    <pivotTable tabId="2" name="PivotTable8"/>
    <pivotTable tabId="2" name="PivotTable9"/>
  </pivotTables>
  <data>
    <olap pivotCacheId="909359628">
      <levels count="2">
        <level uniqueName="[Range].[Gender].[(All)]" sourceCaption="(All)" count="0"/>
        <level uniqueName="[Range].[Gender].[Gender]" sourceCaption="Gender" count="3">
          <ranges>
            <range startItem="0">
              <i n="[Range].[Gender].&amp;[Female]" c="Female"/>
              <i n="[Range].[Gender].&amp;[Male]" c="Male"/>
              <i n="[Range].[Gender].&amp;[Other]" c="Other"/>
            </range>
          </ranges>
        </level>
      </levels>
      <selections count="1">
        <selection n="[Range].[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6405EC1-DCB5-43A5-9155-20AD62A54A5E}" cache="Slicer_Country" caption="Country" startItem="2" level="1" rowHeight="241300"/>
  <slicer name="Performance Rating" xr10:uid="{ED5F22C0-E312-4773-964A-FAE28C49970D}" cache="Slicer_Performance_Rating" caption="Performance Rating" level="1" rowHeight="241300"/>
  <slicer name="Department" xr10:uid="{3E27D891-A85E-4EBB-B93D-EC64E985EAD6}" cache="Slicer_Department" caption="Department" startItem="2" level="1" rowHeight="241300"/>
  <slicer name="Gender" xr10:uid="{068DC586-70FD-43BC-A308-36632FB353D8}" cache="Slicer_Gender" caption="Gender"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2"/>
  <sheetViews>
    <sheetView workbookViewId="0">
      <selection activeCell="N15" sqref="N15"/>
    </sheetView>
  </sheetViews>
  <sheetFormatPr defaultRowHeight="14.4" x14ac:dyDescent="0.3"/>
  <cols>
    <col min="1" max="1" width="12.109375" bestFit="1" customWidth="1"/>
    <col min="2" max="2" width="9.44140625" customWidth="1"/>
    <col min="3" max="3" width="11.6640625" bestFit="1" customWidth="1"/>
    <col min="4" max="4" width="9" bestFit="1" customWidth="1"/>
    <col min="5" max="5" width="6.33203125" bestFit="1" customWidth="1"/>
    <col min="6" max="6" width="18.6640625" bestFit="1" customWidth="1"/>
    <col min="7" max="7" width="15.5546875" bestFit="1" customWidth="1"/>
    <col min="8" max="8" width="7.6640625" bestFit="1" customWidth="1"/>
    <col min="9" max="9" width="22.109375" bestFit="1" customWidth="1"/>
  </cols>
  <sheetData>
    <row r="1" spans="1:9" x14ac:dyDescent="0.3">
      <c r="A1" s="1" t="s">
        <v>0</v>
      </c>
      <c r="B1" s="2" t="s">
        <v>1</v>
      </c>
      <c r="C1" s="2" t="s">
        <v>2</v>
      </c>
      <c r="D1" s="2" t="s">
        <v>3</v>
      </c>
      <c r="E1" s="3" t="s">
        <v>4</v>
      </c>
      <c r="F1" s="3" t="s">
        <v>5</v>
      </c>
      <c r="G1" s="3" t="s">
        <v>6</v>
      </c>
      <c r="H1" s="2" t="s">
        <v>7</v>
      </c>
      <c r="I1" s="4" t="s">
        <v>8</v>
      </c>
    </row>
    <row r="2" spans="1:9" x14ac:dyDescent="0.3">
      <c r="A2" s="5" t="s">
        <v>9</v>
      </c>
      <c r="B2" s="6" t="s">
        <v>10</v>
      </c>
      <c r="C2" s="6" t="s">
        <v>11</v>
      </c>
      <c r="D2" s="6" t="s">
        <v>12</v>
      </c>
      <c r="E2" s="7">
        <v>65605</v>
      </c>
      <c r="F2" s="7">
        <v>2</v>
      </c>
      <c r="G2" s="8">
        <v>42008</v>
      </c>
      <c r="H2" s="6" t="s">
        <v>13</v>
      </c>
      <c r="I2" s="9" t="s">
        <v>14</v>
      </c>
    </row>
    <row r="3" spans="1:9" x14ac:dyDescent="0.3">
      <c r="A3" s="10" t="s">
        <v>15</v>
      </c>
      <c r="B3" s="11" t="s">
        <v>16</v>
      </c>
      <c r="C3" s="11" t="s">
        <v>17</v>
      </c>
      <c r="D3" s="11" t="s">
        <v>18</v>
      </c>
      <c r="E3" s="12">
        <v>54255</v>
      </c>
      <c r="F3" s="12">
        <v>1</v>
      </c>
      <c r="G3" s="13">
        <v>42015</v>
      </c>
      <c r="H3" s="11" t="s">
        <v>13</v>
      </c>
      <c r="I3" s="14" t="s">
        <v>19</v>
      </c>
    </row>
    <row r="4" spans="1:9" x14ac:dyDescent="0.3">
      <c r="A4" s="5" t="s">
        <v>20</v>
      </c>
      <c r="B4" s="6" t="s">
        <v>21</v>
      </c>
      <c r="C4" s="6" t="s">
        <v>11</v>
      </c>
      <c r="D4" s="6" t="s">
        <v>18</v>
      </c>
      <c r="E4" s="7">
        <v>63184</v>
      </c>
      <c r="F4" s="7">
        <v>2</v>
      </c>
      <c r="G4" s="8">
        <v>42022</v>
      </c>
      <c r="H4" s="6" t="s">
        <v>22</v>
      </c>
      <c r="I4" s="9" t="s">
        <v>23</v>
      </c>
    </row>
    <row r="5" spans="1:9" x14ac:dyDescent="0.3">
      <c r="A5" s="10" t="s">
        <v>24</v>
      </c>
      <c r="B5" s="11" t="s">
        <v>25</v>
      </c>
      <c r="C5" s="11" t="s">
        <v>26</v>
      </c>
      <c r="D5" s="11" t="s">
        <v>27</v>
      </c>
      <c r="E5" s="12">
        <v>94406</v>
      </c>
      <c r="F5" s="12">
        <v>1</v>
      </c>
      <c r="G5" s="13">
        <v>42029</v>
      </c>
      <c r="H5" s="11" t="s">
        <v>28</v>
      </c>
      <c r="I5" s="14" t="s">
        <v>29</v>
      </c>
    </row>
    <row r="6" spans="1:9" x14ac:dyDescent="0.3">
      <c r="A6" s="5" t="s">
        <v>30</v>
      </c>
      <c r="B6" s="6" t="s">
        <v>31</v>
      </c>
      <c r="C6" s="6" t="s">
        <v>26</v>
      </c>
      <c r="D6" s="6" t="s">
        <v>18</v>
      </c>
      <c r="E6" s="7">
        <v>64120</v>
      </c>
      <c r="F6" s="7">
        <v>1</v>
      </c>
      <c r="G6" s="8">
        <v>42036</v>
      </c>
      <c r="H6" s="6" t="s">
        <v>28</v>
      </c>
      <c r="I6" s="9" t="s">
        <v>32</v>
      </c>
    </row>
    <row r="7" spans="1:9" x14ac:dyDescent="0.3">
      <c r="A7" s="10" t="s">
        <v>33</v>
      </c>
      <c r="B7" s="11" t="s">
        <v>21</v>
      </c>
      <c r="C7" s="11" t="s">
        <v>34</v>
      </c>
      <c r="D7" s="11" t="s">
        <v>12</v>
      </c>
      <c r="E7" s="12">
        <v>78421</v>
      </c>
      <c r="F7" s="12">
        <v>2</v>
      </c>
      <c r="G7" s="13">
        <v>42043</v>
      </c>
      <c r="H7" s="11" t="s">
        <v>22</v>
      </c>
      <c r="I7" s="14" t="s">
        <v>35</v>
      </c>
    </row>
    <row r="8" spans="1:9" x14ac:dyDescent="0.3">
      <c r="A8" s="5" t="s">
        <v>36</v>
      </c>
      <c r="B8" s="6" t="s">
        <v>37</v>
      </c>
      <c r="C8" s="6" t="s">
        <v>26</v>
      </c>
      <c r="D8" s="6" t="s">
        <v>12</v>
      </c>
      <c r="E8" s="7">
        <v>67721</v>
      </c>
      <c r="F8" s="7">
        <v>1</v>
      </c>
      <c r="G8" s="8">
        <v>42050</v>
      </c>
      <c r="H8" s="6" t="s">
        <v>28</v>
      </c>
      <c r="I8" s="9" t="s">
        <v>29</v>
      </c>
    </row>
    <row r="9" spans="1:9" x14ac:dyDescent="0.3">
      <c r="A9" s="10" t="s">
        <v>38</v>
      </c>
      <c r="B9" s="11" t="s">
        <v>10</v>
      </c>
      <c r="C9" s="11" t="s">
        <v>39</v>
      </c>
      <c r="D9" s="11" t="s">
        <v>12</v>
      </c>
      <c r="E9" s="12">
        <v>35364</v>
      </c>
      <c r="F9" s="12">
        <v>2</v>
      </c>
      <c r="G9" s="13">
        <v>42057</v>
      </c>
      <c r="H9" s="11" t="s">
        <v>13</v>
      </c>
      <c r="I9" s="14" t="s">
        <v>40</v>
      </c>
    </row>
    <row r="10" spans="1:9" x14ac:dyDescent="0.3">
      <c r="A10" s="5" t="s">
        <v>41</v>
      </c>
      <c r="B10" s="6" t="s">
        <v>21</v>
      </c>
      <c r="C10" s="6" t="s">
        <v>34</v>
      </c>
      <c r="D10" s="6" t="s">
        <v>18</v>
      </c>
      <c r="E10" s="7">
        <v>97881</v>
      </c>
      <c r="F10" s="7">
        <v>1</v>
      </c>
      <c r="G10" s="8">
        <v>42064</v>
      </c>
      <c r="H10" s="6" t="s">
        <v>22</v>
      </c>
      <c r="I10" s="9" t="s">
        <v>42</v>
      </c>
    </row>
    <row r="11" spans="1:9" x14ac:dyDescent="0.3">
      <c r="A11" s="10" t="s">
        <v>43</v>
      </c>
      <c r="B11" s="11" t="s">
        <v>10</v>
      </c>
      <c r="C11" s="11" t="s">
        <v>17</v>
      </c>
      <c r="D11" s="11" t="s">
        <v>44</v>
      </c>
      <c r="E11" s="12">
        <v>91846</v>
      </c>
      <c r="F11" s="12">
        <v>1</v>
      </c>
      <c r="G11" s="13">
        <v>42071</v>
      </c>
      <c r="H11" s="11" t="s">
        <v>28</v>
      </c>
      <c r="I11" s="14" t="s">
        <v>45</v>
      </c>
    </row>
    <row r="12" spans="1:9" x14ac:dyDescent="0.3">
      <c r="A12" s="5" t="s">
        <v>46</v>
      </c>
      <c r="B12" s="6" t="s">
        <v>37</v>
      </c>
      <c r="C12" s="6" t="s">
        <v>11</v>
      </c>
      <c r="D12" s="6" t="s">
        <v>44</v>
      </c>
      <c r="E12" s="7">
        <v>64247</v>
      </c>
      <c r="F12" s="7">
        <v>1</v>
      </c>
      <c r="G12" s="8">
        <v>42078</v>
      </c>
      <c r="H12" s="6" t="s">
        <v>22</v>
      </c>
      <c r="I12" s="9" t="s">
        <v>47</v>
      </c>
    </row>
    <row r="13" spans="1:9" x14ac:dyDescent="0.3">
      <c r="A13" s="10" t="s">
        <v>48</v>
      </c>
      <c r="B13" s="11" t="s">
        <v>37</v>
      </c>
      <c r="C13" s="11" t="s">
        <v>34</v>
      </c>
      <c r="D13" s="11" t="s">
        <v>27</v>
      </c>
      <c r="E13" s="12">
        <v>91180</v>
      </c>
      <c r="F13" s="12">
        <v>5</v>
      </c>
      <c r="G13" s="13">
        <v>42085</v>
      </c>
      <c r="H13" s="11" t="s">
        <v>28</v>
      </c>
      <c r="I13" s="14" t="s">
        <v>49</v>
      </c>
    </row>
    <row r="14" spans="1:9" x14ac:dyDescent="0.3">
      <c r="A14" s="5" t="s">
        <v>50</v>
      </c>
      <c r="B14" s="6" t="s">
        <v>51</v>
      </c>
      <c r="C14" s="6" t="s">
        <v>26</v>
      </c>
      <c r="D14" s="6" t="s">
        <v>12</v>
      </c>
      <c r="E14" s="7">
        <v>96418</v>
      </c>
      <c r="F14" s="7">
        <v>5</v>
      </c>
      <c r="G14" s="8">
        <v>42092</v>
      </c>
      <c r="H14" s="6" t="s">
        <v>28</v>
      </c>
      <c r="I14" s="9" t="s">
        <v>19</v>
      </c>
    </row>
    <row r="15" spans="1:9" x14ac:dyDescent="0.3">
      <c r="A15" s="10" t="s">
        <v>52</v>
      </c>
      <c r="B15" s="11" t="s">
        <v>37</v>
      </c>
      <c r="C15" s="11" t="s">
        <v>39</v>
      </c>
      <c r="D15" s="11" t="s">
        <v>12</v>
      </c>
      <c r="E15" s="12">
        <v>62158</v>
      </c>
      <c r="F15" s="12">
        <v>4</v>
      </c>
      <c r="G15" s="13">
        <v>42099</v>
      </c>
      <c r="H15" s="11" t="s">
        <v>28</v>
      </c>
      <c r="I15" s="14" t="s">
        <v>53</v>
      </c>
    </row>
    <row r="16" spans="1:9" x14ac:dyDescent="0.3">
      <c r="A16" s="5" t="s">
        <v>54</v>
      </c>
      <c r="B16" s="6" t="s">
        <v>31</v>
      </c>
      <c r="C16" s="6" t="s">
        <v>17</v>
      </c>
      <c r="D16" s="6" t="s">
        <v>12</v>
      </c>
      <c r="E16" s="7">
        <v>59894</v>
      </c>
      <c r="F16" s="7">
        <v>2</v>
      </c>
      <c r="G16" s="8">
        <v>42106</v>
      </c>
      <c r="H16" s="6" t="s">
        <v>28</v>
      </c>
      <c r="I16" s="9" t="s">
        <v>55</v>
      </c>
    </row>
    <row r="17" spans="1:9" x14ac:dyDescent="0.3">
      <c r="A17" s="10" t="s">
        <v>56</v>
      </c>
      <c r="B17" s="11" t="s">
        <v>10</v>
      </c>
      <c r="C17" s="11" t="s">
        <v>34</v>
      </c>
      <c r="D17" s="11" t="s">
        <v>12</v>
      </c>
      <c r="E17" s="12">
        <v>92443</v>
      </c>
      <c r="F17" s="12">
        <v>3</v>
      </c>
      <c r="G17" s="13">
        <v>42113</v>
      </c>
      <c r="H17" s="11" t="s">
        <v>13</v>
      </c>
      <c r="I17" s="14" t="s">
        <v>57</v>
      </c>
    </row>
    <row r="18" spans="1:9" x14ac:dyDescent="0.3">
      <c r="A18" s="5" t="s">
        <v>58</v>
      </c>
      <c r="B18" s="6" t="s">
        <v>51</v>
      </c>
      <c r="C18" s="6" t="s">
        <v>39</v>
      </c>
      <c r="D18" s="6" t="s">
        <v>18</v>
      </c>
      <c r="E18" s="7">
        <v>90271</v>
      </c>
      <c r="F18" s="7">
        <v>1</v>
      </c>
      <c r="G18" s="8">
        <v>42120</v>
      </c>
      <c r="H18" s="6" t="s">
        <v>28</v>
      </c>
      <c r="I18" s="9" t="s">
        <v>59</v>
      </c>
    </row>
    <row r="19" spans="1:9" x14ac:dyDescent="0.3">
      <c r="A19" s="10" t="s">
        <v>60</v>
      </c>
      <c r="B19" s="11" t="s">
        <v>31</v>
      </c>
      <c r="C19" s="11" t="s">
        <v>11</v>
      </c>
      <c r="D19" s="11" t="s">
        <v>61</v>
      </c>
      <c r="E19" s="12">
        <v>41341</v>
      </c>
      <c r="F19" s="12">
        <v>1</v>
      </c>
      <c r="G19" s="13">
        <v>42127</v>
      </c>
      <c r="H19" s="11" t="s">
        <v>13</v>
      </c>
      <c r="I19" s="14" t="s">
        <v>62</v>
      </c>
    </row>
    <row r="20" spans="1:9" x14ac:dyDescent="0.3">
      <c r="A20" s="5" t="s">
        <v>63</v>
      </c>
      <c r="B20" s="6" t="s">
        <v>21</v>
      </c>
      <c r="C20" s="6" t="s">
        <v>11</v>
      </c>
      <c r="D20" s="6" t="s">
        <v>44</v>
      </c>
      <c r="E20" s="7">
        <v>73602</v>
      </c>
      <c r="F20" s="7">
        <v>1</v>
      </c>
      <c r="G20" s="8">
        <v>42134</v>
      </c>
      <c r="H20" s="6" t="s">
        <v>22</v>
      </c>
      <c r="I20" s="9" t="s">
        <v>64</v>
      </c>
    </row>
    <row r="21" spans="1:9" x14ac:dyDescent="0.3">
      <c r="A21" s="10" t="s">
        <v>65</v>
      </c>
      <c r="B21" s="11" t="s">
        <v>16</v>
      </c>
      <c r="C21" s="11" t="s">
        <v>39</v>
      </c>
      <c r="D21" s="11" t="s">
        <v>12</v>
      </c>
      <c r="E21" s="12">
        <v>67531</v>
      </c>
      <c r="F21" s="12">
        <v>5</v>
      </c>
      <c r="G21" s="13">
        <v>42141</v>
      </c>
      <c r="H21" s="11" t="s">
        <v>22</v>
      </c>
      <c r="I21" s="14" t="s">
        <v>66</v>
      </c>
    </row>
    <row r="22" spans="1:9" x14ac:dyDescent="0.3">
      <c r="A22" s="5" t="s">
        <v>67</v>
      </c>
      <c r="B22" s="6" t="s">
        <v>31</v>
      </c>
      <c r="C22" s="6" t="s">
        <v>17</v>
      </c>
      <c r="D22" s="6" t="s">
        <v>27</v>
      </c>
      <c r="E22" s="7">
        <v>67835</v>
      </c>
      <c r="F22" s="7">
        <v>2</v>
      </c>
      <c r="G22" s="8">
        <v>42148</v>
      </c>
      <c r="H22" s="6" t="s">
        <v>13</v>
      </c>
      <c r="I22" s="9" t="s">
        <v>68</v>
      </c>
    </row>
    <row r="23" spans="1:9" x14ac:dyDescent="0.3">
      <c r="A23" s="10" t="s">
        <v>69</v>
      </c>
      <c r="B23" s="11" t="s">
        <v>31</v>
      </c>
      <c r="C23" s="11" t="s">
        <v>17</v>
      </c>
      <c r="D23" s="11" t="s">
        <v>12</v>
      </c>
      <c r="E23" s="12">
        <v>98922</v>
      </c>
      <c r="F23" s="12">
        <v>4</v>
      </c>
      <c r="G23" s="13">
        <v>42155</v>
      </c>
      <c r="H23" s="11" t="s">
        <v>28</v>
      </c>
      <c r="I23" s="14" t="s">
        <v>70</v>
      </c>
    </row>
    <row r="24" spans="1:9" x14ac:dyDescent="0.3">
      <c r="A24" s="5" t="s">
        <v>71</v>
      </c>
      <c r="B24" s="6" t="s">
        <v>16</v>
      </c>
      <c r="C24" s="6" t="s">
        <v>11</v>
      </c>
      <c r="D24" s="6" t="s">
        <v>12</v>
      </c>
      <c r="E24" s="7">
        <v>38333</v>
      </c>
      <c r="F24" s="7">
        <v>5</v>
      </c>
      <c r="G24" s="8">
        <v>42162</v>
      </c>
      <c r="H24" s="6" t="s">
        <v>22</v>
      </c>
      <c r="I24" s="9" t="s">
        <v>72</v>
      </c>
    </row>
    <row r="25" spans="1:9" x14ac:dyDescent="0.3">
      <c r="A25" s="10" t="s">
        <v>73</v>
      </c>
      <c r="B25" s="11" t="s">
        <v>21</v>
      </c>
      <c r="C25" s="11" t="s">
        <v>39</v>
      </c>
      <c r="D25" s="11" t="s">
        <v>44</v>
      </c>
      <c r="E25" s="12">
        <v>36515</v>
      </c>
      <c r="F25" s="12">
        <v>3</v>
      </c>
      <c r="G25" s="13">
        <v>42169</v>
      </c>
      <c r="H25" s="11" t="s">
        <v>28</v>
      </c>
      <c r="I25" s="14" t="s">
        <v>74</v>
      </c>
    </row>
    <row r="26" spans="1:9" x14ac:dyDescent="0.3">
      <c r="A26" s="5" t="s">
        <v>75</v>
      </c>
      <c r="B26" s="6" t="s">
        <v>37</v>
      </c>
      <c r="C26" s="6" t="s">
        <v>11</v>
      </c>
      <c r="D26" s="6" t="s">
        <v>12</v>
      </c>
      <c r="E26" s="7">
        <v>91005</v>
      </c>
      <c r="F26" s="7">
        <v>1</v>
      </c>
      <c r="G26" s="8">
        <v>42176</v>
      </c>
      <c r="H26" s="6" t="s">
        <v>13</v>
      </c>
      <c r="I26" s="9" t="s">
        <v>76</v>
      </c>
    </row>
    <row r="27" spans="1:9" x14ac:dyDescent="0.3">
      <c r="A27" s="10" t="s">
        <v>77</v>
      </c>
      <c r="B27" s="11" t="s">
        <v>10</v>
      </c>
      <c r="C27" s="11" t="s">
        <v>39</v>
      </c>
      <c r="D27" s="11" t="s">
        <v>12</v>
      </c>
      <c r="E27" s="12">
        <v>52272</v>
      </c>
      <c r="F27" s="12">
        <v>3</v>
      </c>
      <c r="G27" s="13">
        <v>42183</v>
      </c>
      <c r="H27" s="11" t="s">
        <v>13</v>
      </c>
      <c r="I27" s="14" t="s">
        <v>78</v>
      </c>
    </row>
    <row r="28" spans="1:9" x14ac:dyDescent="0.3">
      <c r="A28" s="5" t="s">
        <v>79</v>
      </c>
      <c r="B28" s="6" t="s">
        <v>16</v>
      </c>
      <c r="C28" s="6" t="s">
        <v>26</v>
      </c>
      <c r="D28" s="6" t="s">
        <v>18</v>
      </c>
      <c r="E28" s="7">
        <v>76518</v>
      </c>
      <c r="F28" s="7">
        <v>2</v>
      </c>
      <c r="G28" s="8">
        <v>42190</v>
      </c>
      <c r="H28" s="6" t="s">
        <v>22</v>
      </c>
      <c r="I28" s="9" t="s">
        <v>80</v>
      </c>
    </row>
    <row r="29" spans="1:9" x14ac:dyDescent="0.3">
      <c r="A29" s="10" t="s">
        <v>81</v>
      </c>
      <c r="B29" s="11" t="s">
        <v>21</v>
      </c>
      <c r="C29" s="11" t="s">
        <v>34</v>
      </c>
      <c r="D29" s="11" t="s">
        <v>44</v>
      </c>
      <c r="E29" s="12">
        <v>41448</v>
      </c>
      <c r="F29" s="12">
        <v>3</v>
      </c>
      <c r="G29" s="13">
        <v>42197</v>
      </c>
      <c r="H29" s="11" t="s">
        <v>13</v>
      </c>
      <c r="I29" s="14" t="s">
        <v>82</v>
      </c>
    </row>
    <row r="30" spans="1:9" x14ac:dyDescent="0.3">
      <c r="A30" s="5" t="s">
        <v>83</v>
      </c>
      <c r="B30" s="6" t="s">
        <v>25</v>
      </c>
      <c r="C30" s="6" t="s">
        <v>17</v>
      </c>
      <c r="D30" s="6" t="s">
        <v>44</v>
      </c>
      <c r="E30" s="7">
        <v>49282</v>
      </c>
      <c r="F30" s="7">
        <v>2</v>
      </c>
      <c r="G30" s="8">
        <v>42204</v>
      </c>
      <c r="H30" s="6" t="s">
        <v>22</v>
      </c>
      <c r="I30" s="9" t="s">
        <v>84</v>
      </c>
    </row>
    <row r="31" spans="1:9" x14ac:dyDescent="0.3">
      <c r="A31" s="10" t="s">
        <v>85</v>
      </c>
      <c r="B31" s="11" t="s">
        <v>51</v>
      </c>
      <c r="C31" s="11" t="s">
        <v>39</v>
      </c>
      <c r="D31" s="11" t="s">
        <v>44</v>
      </c>
      <c r="E31" s="12">
        <v>92959</v>
      </c>
      <c r="F31" s="12">
        <v>5</v>
      </c>
      <c r="G31" s="13">
        <v>42211</v>
      </c>
      <c r="H31" s="11" t="s">
        <v>28</v>
      </c>
      <c r="I31" s="14" t="s">
        <v>86</v>
      </c>
    </row>
    <row r="32" spans="1:9" x14ac:dyDescent="0.3">
      <c r="A32" s="5" t="s">
        <v>87</v>
      </c>
      <c r="B32" s="6" t="s">
        <v>10</v>
      </c>
      <c r="C32" s="6" t="s">
        <v>39</v>
      </c>
      <c r="D32" s="6" t="s">
        <v>12</v>
      </c>
      <c r="E32" s="7">
        <v>92259</v>
      </c>
      <c r="F32" s="7">
        <v>1</v>
      </c>
      <c r="G32" s="8">
        <v>42218</v>
      </c>
      <c r="H32" s="6" t="s">
        <v>28</v>
      </c>
      <c r="I32" s="9" t="s">
        <v>88</v>
      </c>
    </row>
    <row r="33" spans="1:9" x14ac:dyDescent="0.3">
      <c r="A33" s="10" t="s">
        <v>89</v>
      </c>
      <c r="B33" s="11" t="s">
        <v>16</v>
      </c>
      <c r="C33" s="11" t="s">
        <v>17</v>
      </c>
      <c r="D33" s="11" t="s">
        <v>18</v>
      </c>
      <c r="E33" s="12">
        <v>92299</v>
      </c>
      <c r="F33" s="12">
        <v>3</v>
      </c>
      <c r="G33" s="13">
        <v>42225</v>
      </c>
      <c r="H33" s="11" t="s">
        <v>13</v>
      </c>
      <c r="I33" s="14" t="s">
        <v>90</v>
      </c>
    </row>
    <row r="34" spans="1:9" x14ac:dyDescent="0.3">
      <c r="A34" s="5" t="s">
        <v>91</v>
      </c>
      <c r="B34" s="6" t="s">
        <v>37</v>
      </c>
      <c r="C34" s="6" t="s">
        <v>17</v>
      </c>
      <c r="D34" s="6" t="s">
        <v>12</v>
      </c>
      <c r="E34" s="7">
        <v>95586</v>
      </c>
      <c r="F34" s="7">
        <v>3</v>
      </c>
      <c r="G34" s="8">
        <v>42232</v>
      </c>
      <c r="H34" s="6" t="s">
        <v>28</v>
      </c>
      <c r="I34" s="9" t="s">
        <v>92</v>
      </c>
    </row>
    <row r="35" spans="1:9" x14ac:dyDescent="0.3">
      <c r="A35" s="10" t="s">
        <v>93</v>
      </c>
      <c r="B35" s="11" t="s">
        <v>10</v>
      </c>
      <c r="C35" s="11" t="s">
        <v>39</v>
      </c>
      <c r="D35" s="11" t="s">
        <v>27</v>
      </c>
      <c r="E35" s="12">
        <v>95367</v>
      </c>
      <c r="F35" s="12">
        <v>1</v>
      </c>
      <c r="G35" s="13">
        <v>42239</v>
      </c>
      <c r="H35" s="11" t="s">
        <v>13</v>
      </c>
      <c r="I35" s="14" t="s">
        <v>94</v>
      </c>
    </row>
    <row r="36" spans="1:9" x14ac:dyDescent="0.3">
      <c r="A36" s="5" t="s">
        <v>95</v>
      </c>
      <c r="B36" s="6" t="s">
        <v>25</v>
      </c>
      <c r="C36" s="6" t="s">
        <v>26</v>
      </c>
      <c r="D36" s="6" t="s">
        <v>61</v>
      </c>
      <c r="E36" s="7">
        <v>79549</v>
      </c>
      <c r="F36" s="7">
        <v>3</v>
      </c>
      <c r="G36" s="8">
        <v>42246</v>
      </c>
      <c r="H36" s="6" t="s">
        <v>28</v>
      </c>
      <c r="I36" s="9" t="s">
        <v>96</v>
      </c>
    </row>
    <row r="37" spans="1:9" x14ac:dyDescent="0.3">
      <c r="A37" s="10" t="s">
        <v>97</v>
      </c>
      <c r="B37" s="11" t="s">
        <v>21</v>
      </c>
      <c r="C37" s="11" t="s">
        <v>39</v>
      </c>
      <c r="D37" s="11" t="s">
        <v>44</v>
      </c>
      <c r="E37" s="12">
        <v>54463</v>
      </c>
      <c r="F37" s="12">
        <v>4</v>
      </c>
      <c r="G37" s="13">
        <v>42253</v>
      </c>
      <c r="H37" s="11" t="s">
        <v>22</v>
      </c>
      <c r="I37" s="14" t="s">
        <v>14</v>
      </c>
    </row>
    <row r="38" spans="1:9" x14ac:dyDescent="0.3">
      <c r="A38" s="5" t="s">
        <v>98</v>
      </c>
      <c r="B38" s="6" t="s">
        <v>21</v>
      </c>
      <c r="C38" s="6" t="s">
        <v>34</v>
      </c>
      <c r="D38" s="6" t="s">
        <v>27</v>
      </c>
      <c r="E38" s="7">
        <v>89781</v>
      </c>
      <c r="F38" s="7">
        <v>1</v>
      </c>
      <c r="G38" s="8">
        <v>42260</v>
      </c>
      <c r="H38" s="6" t="s">
        <v>13</v>
      </c>
      <c r="I38" s="9" t="s">
        <v>99</v>
      </c>
    </row>
    <row r="39" spans="1:9" x14ac:dyDescent="0.3">
      <c r="A39" s="10" t="s">
        <v>100</v>
      </c>
      <c r="B39" s="11" t="s">
        <v>21</v>
      </c>
      <c r="C39" s="11" t="s">
        <v>17</v>
      </c>
      <c r="D39" s="11" t="s">
        <v>12</v>
      </c>
      <c r="E39" s="12">
        <v>64796</v>
      </c>
      <c r="F39" s="12">
        <v>1</v>
      </c>
      <c r="G39" s="13">
        <v>42267</v>
      </c>
      <c r="H39" s="11" t="s">
        <v>22</v>
      </c>
      <c r="I39" s="14" t="s">
        <v>101</v>
      </c>
    </row>
    <row r="40" spans="1:9" x14ac:dyDescent="0.3">
      <c r="A40" s="5" t="s">
        <v>102</v>
      </c>
      <c r="B40" s="6" t="s">
        <v>25</v>
      </c>
      <c r="C40" s="6" t="s">
        <v>39</v>
      </c>
      <c r="D40" s="6" t="s">
        <v>44</v>
      </c>
      <c r="E40" s="7">
        <v>52093</v>
      </c>
      <c r="F40" s="7">
        <v>5</v>
      </c>
      <c r="G40" s="8">
        <v>42274</v>
      </c>
      <c r="H40" s="6" t="s">
        <v>13</v>
      </c>
      <c r="I40" s="9" t="s">
        <v>103</v>
      </c>
    </row>
    <row r="41" spans="1:9" x14ac:dyDescent="0.3">
      <c r="A41" s="10" t="s">
        <v>104</v>
      </c>
      <c r="B41" s="11" t="s">
        <v>10</v>
      </c>
      <c r="C41" s="11" t="s">
        <v>17</v>
      </c>
      <c r="D41" s="11" t="s">
        <v>44</v>
      </c>
      <c r="E41" s="12">
        <v>48224</v>
      </c>
      <c r="F41" s="12">
        <v>3</v>
      </c>
      <c r="G41" s="13">
        <v>42281</v>
      </c>
      <c r="H41" s="11" t="s">
        <v>22</v>
      </c>
      <c r="I41" s="14" t="s">
        <v>105</v>
      </c>
    </row>
    <row r="42" spans="1:9" x14ac:dyDescent="0.3">
      <c r="A42" s="5" t="s">
        <v>106</v>
      </c>
      <c r="B42" s="6" t="s">
        <v>51</v>
      </c>
      <c r="C42" s="6" t="s">
        <v>11</v>
      </c>
      <c r="D42" s="6" t="s">
        <v>44</v>
      </c>
      <c r="E42" s="7">
        <v>65605</v>
      </c>
      <c r="F42" s="7">
        <v>4</v>
      </c>
      <c r="G42" s="8">
        <v>42288</v>
      </c>
      <c r="H42" s="6" t="s">
        <v>22</v>
      </c>
      <c r="I42" s="9" t="s">
        <v>107</v>
      </c>
    </row>
    <row r="43" spans="1:9" x14ac:dyDescent="0.3">
      <c r="A43" s="10" t="s">
        <v>108</v>
      </c>
      <c r="B43" s="11" t="s">
        <v>21</v>
      </c>
      <c r="C43" s="11" t="s">
        <v>34</v>
      </c>
      <c r="D43" s="11" t="s">
        <v>18</v>
      </c>
      <c r="E43" s="12">
        <v>33956</v>
      </c>
      <c r="F43" s="12">
        <v>1</v>
      </c>
      <c r="G43" s="13">
        <v>42295</v>
      </c>
      <c r="H43" s="11" t="s">
        <v>22</v>
      </c>
      <c r="I43" s="14" t="s">
        <v>109</v>
      </c>
    </row>
    <row r="44" spans="1:9" x14ac:dyDescent="0.3">
      <c r="A44" s="5" t="s">
        <v>110</v>
      </c>
      <c r="B44" s="6" t="s">
        <v>51</v>
      </c>
      <c r="C44" s="6" t="s">
        <v>39</v>
      </c>
      <c r="D44" s="6" t="s">
        <v>61</v>
      </c>
      <c r="E44" s="7">
        <v>64913</v>
      </c>
      <c r="F44" s="7">
        <v>1</v>
      </c>
      <c r="G44" s="8">
        <v>42302</v>
      </c>
      <c r="H44" s="6" t="s">
        <v>28</v>
      </c>
      <c r="I44" s="9" t="s">
        <v>111</v>
      </c>
    </row>
    <row r="45" spans="1:9" x14ac:dyDescent="0.3">
      <c r="A45" s="10" t="s">
        <v>112</v>
      </c>
      <c r="B45" s="11" t="s">
        <v>21</v>
      </c>
      <c r="C45" s="11" t="s">
        <v>39</v>
      </c>
      <c r="D45" s="11" t="s">
        <v>61</v>
      </c>
      <c r="E45" s="12">
        <v>35326</v>
      </c>
      <c r="F45" s="12">
        <v>1</v>
      </c>
      <c r="G45" s="13">
        <v>42309</v>
      </c>
      <c r="H45" s="11" t="s">
        <v>13</v>
      </c>
      <c r="I45" s="14" t="s">
        <v>113</v>
      </c>
    </row>
    <row r="46" spans="1:9" x14ac:dyDescent="0.3">
      <c r="A46" s="5" t="s">
        <v>114</v>
      </c>
      <c r="B46" s="6" t="s">
        <v>10</v>
      </c>
      <c r="C46" s="6" t="s">
        <v>11</v>
      </c>
      <c r="D46" s="6" t="s">
        <v>12</v>
      </c>
      <c r="E46" s="7">
        <v>81610</v>
      </c>
      <c r="F46" s="7">
        <v>1</v>
      </c>
      <c r="G46" s="8">
        <v>42316</v>
      </c>
      <c r="H46" s="6" t="s">
        <v>13</v>
      </c>
      <c r="I46" s="9" t="s">
        <v>115</v>
      </c>
    </row>
    <row r="47" spans="1:9" x14ac:dyDescent="0.3">
      <c r="A47" s="10" t="s">
        <v>116</v>
      </c>
      <c r="B47" s="11" t="s">
        <v>10</v>
      </c>
      <c r="C47" s="11" t="s">
        <v>17</v>
      </c>
      <c r="D47" s="11" t="s">
        <v>12</v>
      </c>
      <c r="E47" s="12">
        <v>58962</v>
      </c>
      <c r="F47" s="12">
        <v>3</v>
      </c>
      <c r="G47" s="13">
        <v>42323</v>
      </c>
      <c r="H47" s="11" t="s">
        <v>13</v>
      </c>
      <c r="I47" s="14" t="s">
        <v>19</v>
      </c>
    </row>
    <row r="48" spans="1:9" x14ac:dyDescent="0.3">
      <c r="A48" s="5" t="s">
        <v>117</v>
      </c>
      <c r="B48" s="6" t="s">
        <v>10</v>
      </c>
      <c r="C48" s="6" t="s">
        <v>34</v>
      </c>
      <c r="D48" s="6" t="s">
        <v>18</v>
      </c>
      <c r="E48" s="7">
        <v>92701</v>
      </c>
      <c r="F48" s="7">
        <v>3</v>
      </c>
      <c r="G48" s="8">
        <v>42330</v>
      </c>
      <c r="H48" s="6" t="s">
        <v>13</v>
      </c>
      <c r="I48" s="9" t="s">
        <v>118</v>
      </c>
    </row>
    <row r="49" spans="1:9" x14ac:dyDescent="0.3">
      <c r="A49" s="10" t="s">
        <v>119</v>
      </c>
      <c r="B49" s="11" t="s">
        <v>10</v>
      </c>
      <c r="C49" s="11" t="s">
        <v>17</v>
      </c>
      <c r="D49" s="11" t="s">
        <v>12</v>
      </c>
      <c r="E49" s="12">
        <v>58245</v>
      </c>
      <c r="F49" s="12">
        <v>4</v>
      </c>
      <c r="G49" s="13">
        <v>42337</v>
      </c>
      <c r="H49" s="11" t="s">
        <v>22</v>
      </c>
      <c r="I49" s="14" t="s">
        <v>120</v>
      </c>
    </row>
    <row r="50" spans="1:9" x14ac:dyDescent="0.3">
      <c r="A50" s="5" t="s">
        <v>121</v>
      </c>
      <c r="B50" s="6" t="s">
        <v>25</v>
      </c>
      <c r="C50" s="6" t="s">
        <v>11</v>
      </c>
      <c r="D50" s="6" t="s">
        <v>12</v>
      </c>
      <c r="E50" s="7">
        <v>66513</v>
      </c>
      <c r="F50" s="7">
        <v>2</v>
      </c>
      <c r="G50" s="8">
        <v>42344</v>
      </c>
      <c r="H50" s="6" t="s">
        <v>13</v>
      </c>
      <c r="I50" s="9" t="s">
        <v>35</v>
      </c>
    </row>
    <row r="51" spans="1:9" x14ac:dyDescent="0.3">
      <c r="A51" s="10" t="s">
        <v>122</v>
      </c>
      <c r="B51" s="11" t="s">
        <v>16</v>
      </c>
      <c r="C51" s="11" t="s">
        <v>17</v>
      </c>
      <c r="D51" s="11" t="s">
        <v>18</v>
      </c>
      <c r="E51" s="12">
        <v>78720</v>
      </c>
      <c r="F51" s="12">
        <v>5</v>
      </c>
      <c r="G51" s="13">
        <v>42351</v>
      </c>
      <c r="H51" s="11" t="s">
        <v>22</v>
      </c>
      <c r="I51" s="14" t="s">
        <v>107</v>
      </c>
    </row>
    <row r="52" spans="1:9" x14ac:dyDescent="0.3">
      <c r="A52" s="5" t="s">
        <v>123</v>
      </c>
      <c r="B52" s="6" t="s">
        <v>10</v>
      </c>
      <c r="C52" s="6" t="s">
        <v>39</v>
      </c>
      <c r="D52" s="6" t="s">
        <v>12</v>
      </c>
      <c r="E52" s="7">
        <v>30686</v>
      </c>
      <c r="F52" s="7">
        <v>2</v>
      </c>
      <c r="G52" s="8">
        <v>42358</v>
      </c>
      <c r="H52" s="6" t="s">
        <v>22</v>
      </c>
      <c r="I52" s="9" t="s">
        <v>124</v>
      </c>
    </row>
    <row r="53" spans="1:9" x14ac:dyDescent="0.3">
      <c r="A53" s="10" t="s">
        <v>125</v>
      </c>
      <c r="B53" s="11" t="s">
        <v>37</v>
      </c>
      <c r="C53" s="11" t="s">
        <v>26</v>
      </c>
      <c r="D53" s="11" t="s">
        <v>12</v>
      </c>
      <c r="E53" s="12">
        <v>39423</v>
      </c>
      <c r="F53" s="12">
        <v>5</v>
      </c>
      <c r="G53" s="13">
        <v>42365</v>
      </c>
      <c r="H53" s="11" t="s">
        <v>13</v>
      </c>
      <c r="I53" s="14" t="s">
        <v>126</v>
      </c>
    </row>
    <row r="54" spans="1:9" x14ac:dyDescent="0.3">
      <c r="A54" s="5" t="s">
        <v>127</v>
      </c>
      <c r="B54" s="6" t="s">
        <v>16</v>
      </c>
      <c r="C54" s="6" t="s">
        <v>39</v>
      </c>
      <c r="D54" s="6" t="s">
        <v>12</v>
      </c>
      <c r="E54" s="7">
        <v>30280</v>
      </c>
      <c r="F54" s="7">
        <v>1</v>
      </c>
      <c r="G54" s="8">
        <v>42372</v>
      </c>
      <c r="H54" s="6" t="s">
        <v>22</v>
      </c>
      <c r="I54" s="9" t="s">
        <v>128</v>
      </c>
    </row>
    <row r="55" spans="1:9" x14ac:dyDescent="0.3">
      <c r="A55" s="10" t="s">
        <v>129</v>
      </c>
      <c r="B55" s="11" t="s">
        <v>16</v>
      </c>
      <c r="C55" s="11" t="s">
        <v>11</v>
      </c>
      <c r="D55" s="11" t="s">
        <v>44</v>
      </c>
      <c r="E55" s="12">
        <v>33352</v>
      </c>
      <c r="F55" s="12">
        <v>3</v>
      </c>
      <c r="G55" s="13">
        <v>42379</v>
      </c>
      <c r="H55" s="11" t="s">
        <v>28</v>
      </c>
      <c r="I55" s="14" t="s">
        <v>68</v>
      </c>
    </row>
    <row r="56" spans="1:9" x14ac:dyDescent="0.3">
      <c r="A56" s="5" t="s">
        <v>130</v>
      </c>
      <c r="B56" s="6" t="s">
        <v>51</v>
      </c>
      <c r="C56" s="6" t="s">
        <v>39</v>
      </c>
      <c r="D56" s="6" t="s">
        <v>44</v>
      </c>
      <c r="E56" s="7">
        <v>75633</v>
      </c>
      <c r="F56" s="7">
        <v>5</v>
      </c>
      <c r="G56" s="8">
        <v>42386</v>
      </c>
      <c r="H56" s="6" t="s">
        <v>28</v>
      </c>
      <c r="I56" s="9" t="s">
        <v>131</v>
      </c>
    </row>
    <row r="57" spans="1:9" x14ac:dyDescent="0.3">
      <c r="A57" s="10" t="s">
        <v>132</v>
      </c>
      <c r="B57" s="11" t="s">
        <v>10</v>
      </c>
      <c r="C57" s="11" t="s">
        <v>39</v>
      </c>
      <c r="D57" s="11" t="s">
        <v>27</v>
      </c>
      <c r="E57" s="12">
        <v>74815</v>
      </c>
      <c r="F57" s="12">
        <v>5</v>
      </c>
      <c r="G57" s="13">
        <v>42393</v>
      </c>
      <c r="H57" s="11" t="s">
        <v>28</v>
      </c>
      <c r="I57" s="14" t="s">
        <v>133</v>
      </c>
    </row>
    <row r="58" spans="1:9" x14ac:dyDescent="0.3">
      <c r="A58" s="5" t="s">
        <v>134</v>
      </c>
      <c r="B58" s="6" t="s">
        <v>25</v>
      </c>
      <c r="C58" s="6" t="s">
        <v>26</v>
      </c>
      <c r="D58" s="6" t="s">
        <v>61</v>
      </c>
      <c r="E58" s="7">
        <v>60011</v>
      </c>
      <c r="F58" s="7">
        <v>1</v>
      </c>
      <c r="G58" s="8">
        <v>42400</v>
      </c>
      <c r="H58" s="6" t="s">
        <v>13</v>
      </c>
      <c r="I58" s="9" t="s">
        <v>135</v>
      </c>
    </row>
    <row r="59" spans="1:9" x14ac:dyDescent="0.3">
      <c r="A59" s="10" t="s">
        <v>136</v>
      </c>
      <c r="B59" s="11" t="s">
        <v>16</v>
      </c>
      <c r="C59" s="11" t="s">
        <v>39</v>
      </c>
      <c r="D59" s="11" t="s">
        <v>12</v>
      </c>
      <c r="E59" s="12">
        <v>96949</v>
      </c>
      <c r="F59" s="12">
        <v>3</v>
      </c>
      <c r="G59" s="13">
        <v>42407</v>
      </c>
      <c r="H59" s="11" t="s">
        <v>22</v>
      </c>
      <c r="I59" s="14" t="s">
        <v>82</v>
      </c>
    </row>
    <row r="60" spans="1:9" x14ac:dyDescent="0.3">
      <c r="A60" s="5" t="s">
        <v>137</v>
      </c>
      <c r="B60" s="6" t="s">
        <v>37</v>
      </c>
      <c r="C60" s="6" t="s">
        <v>39</v>
      </c>
      <c r="D60" s="6" t="s">
        <v>12</v>
      </c>
      <c r="E60" s="7">
        <v>84924</v>
      </c>
      <c r="F60" s="7">
        <v>5</v>
      </c>
      <c r="G60" s="8">
        <v>42414</v>
      </c>
      <c r="H60" s="6" t="s">
        <v>22</v>
      </c>
      <c r="I60" s="9" t="s">
        <v>138</v>
      </c>
    </row>
    <row r="61" spans="1:9" x14ac:dyDescent="0.3">
      <c r="A61" s="10" t="s">
        <v>139</v>
      </c>
      <c r="B61" s="11" t="s">
        <v>37</v>
      </c>
      <c r="C61" s="11" t="s">
        <v>11</v>
      </c>
      <c r="D61" s="11" t="s">
        <v>27</v>
      </c>
      <c r="E61" s="12">
        <v>82033</v>
      </c>
      <c r="F61" s="12">
        <v>1</v>
      </c>
      <c r="G61" s="13">
        <v>42421</v>
      </c>
      <c r="H61" s="11" t="s">
        <v>13</v>
      </c>
      <c r="I61" s="14" t="s">
        <v>115</v>
      </c>
    </row>
    <row r="62" spans="1:9" x14ac:dyDescent="0.3">
      <c r="A62" s="5" t="s">
        <v>140</v>
      </c>
      <c r="B62" s="6" t="s">
        <v>10</v>
      </c>
      <c r="C62" s="6" t="s">
        <v>39</v>
      </c>
      <c r="D62" s="6" t="s">
        <v>18</v>
      </c>
      <c r="E62" s="7">
        <v>65072</v>
      </c>
      <c r="F62" s="7">
        <v>5</v>
      </c>
      <c r="G62" s="8">
        <v>42428</v>
      </c>
      <c r="H62" s="6" t="s">
        <v>28</v>
      </c>
      <c r="I62" s="9" t="s">
        <v>141</v>
      </c>
    </row>
    <row r="63" spans="1:9" x14ac:dyDescent="0.3">
      <c r="A63" s="10" t="s">
        <v>142</v>
      </c>
      <c r="B63" s="11" t="s">
        <v>16</v>
      </c>
      <c r="C63" s="11" t="s">
        <v>39</v>
      </c>
      <c r="D63" s="11" t="s">
        <v>61</v>
      </c>
      <c r="E63" s="12">
        <v>31499</v>
      </c>
      <c r="F63" s="12">
        <v>2</v>
      </c>
      <c r="G63" s="13">
        <v>42435</v>
      </c>
      <c r="H63" s="11" t="s">
        <v>28</v>
      </c>
      <c r="I63" s="14" t="s">
        <v>99</v>
      </c>
    </row>
    <row r="64" spans="1:9" x14ac:dyDescent="0.3">
      <c r="A64" s="5" t="s">
        <v>143</v>
      </c>
      <c r="B64" s="6" t="s">
        <v>10</v>
      </c>
      <c r="C64" s="6" t="s">
        <v>34</v>
      </c>
      <c r="D64" s="6" t="s">
        <v>44</v>
      </c>
      <c r="E64" s="7">
        <v>97981</v>
      </c>
      <c r="F64" s="7">
        <v>5</v>
      </c>
      <c r="G64" s="8">
        <v>42442</v>
      </c>
      <c r="H64" s="6" t="s">
        <v>13</v>
      </c>
      <c r="I64" s="9" t="s">
        <v>144</v>
      </c>
    </row>
    <row r="65" spans="1:9" x14ac:dyDescent="0.3">
      <c r="A65" s="10" t="s">
        <v>145</v>
      </c>
      <c r="B65" s="11" t="s">
        <v>16</v>
      </c>
      <c r="C65" s="11" t="s">
        <v>17</v>
      </c>
      <c r="D65" s="11" t="s">
        <v>27</v>
      </c>
      <c r="E65" s="12">
        <v>36541</v>
      </c>
      <c r="F65" s="12">
        <v>2</v>
      </c>
      <c r="G65" s="13">
        <v>42449</v>
      </c>
      <c r="H65" s="11" t="s">
        <v>22</v>
      </c>
      <c r="I65" s="14" t="s">
        <v>146</v>
      </c>
    </row>
    <row r="66" spans="1:9" x14ac:dyDescent="0.3">
      <c r="A66" s="5" t="s">
        <v>147</v>
      </c>
      <c r="B66" s="6" t="s">
        <v>25</v>
      </c>
      <c r="C66" s="6" t="s">
        <v>34</v>
      </c>
      <c r="D66" s="6" t="s">
        <v>12</v>
      </c>
      <c r="E66" s="7">
        <v>84737</v>
      </c>
      <c r="F66" s="7">
        <v>1</v>
      </c>
      <c r="G66" s="8">
        <v>42456</v>
      </c>
      <c r="H66" s="6" t="s">
        <v>13</v>
      </c>
      <c r="I66" s="9" t="s">
        <v>148</v>
      </c>
    </row>
    <row r="67" spans="1:9" x14ac:dyDescent="0.3">
      <c r="A67" s="10" t="s">
        <v>149</v>
      </c>
      <c r="B67" s="11" t="s">
        <v>37</v>
      </c>
      <c r="C67" s="11" t="s">
        <v>11</v>
      </c>
      <c r="D67" s="11" t="s">
        <v>12</v>
      </c>
      <c r="E67" s="12">
        <v>33468</v>
      </c>
      <c r="F67" s="12">
        <v>4</v>
      </c>
      <c r="G67" s="13">
        <v>42463</v>
      </c>
      <c r="H67" s="11" t="s">
        <v>28</v>
      </c>
      <c r="I67" s="14" t="s">
        <v>150</v>
      </c>
    </row>
    <row r="68" spans="1:9" x14ac:dyDescent="0.3">
      <c r="A68" s="5" t="s">
        <v>151</v>
      </c>
      <c r="B68" s="6" t="s">
        <v>37</v>
      </c>
      <c r="C68" s="6" t="s">
        <v>39</v>
      </c>
      <c r="D68" s="6" t="s">
        <v>61</v>
      </c>
      <c r="E68" s="7">
        <v>96365</v>
      </c>
      <c r="F68" s="7">
        <v>3</v>
      </c>
      <c r="G68" s="8">
        <v>42470</v>
      </c>
      <c r="H68" s="6" t="s">
        <v>22</v>
      </c>
      <c r="I68" s="9" t="s">
        <v>152</v>
      </c>
    </row>
    <row r="69" spans="1:9" x14ac:dyDescent="0.3">
      <c r="A69" s="10" t="s">
        <v>153</v>
      </c>
      <c r="B69" s="11" t="s">
        <v>21</v>
      </c>
      <c r="C69" s="11" t="s">
        <v>26</v>
      </c>
      <c r="D69" s="11" t="s">
        <v>12</v>
      </c>
      <c r="E69" s="12">
        <v>61942</v>
      </c>
      <c r="F69" s="12">
        <v>3</v>
      </c>
      <c r="G69" s="13">
        <v>42477</v>
      </c>
      <c r="H69" s="11" t="s">
        <v>22</v>
      </c>
      <c r="I69" s="14" t="s">
        <v>154</v>
      </c>
    </row>
    <row r="70" spans="1:9" x14ac:dyDescent="0.3">
      <c r="A70" s="5" t="s">
        <v>155</v>
      </c>
      <c r="B70" s="6" t="s">
        <v>37</v>
      </c>
      <c r="C70" s="6" t="s">
        <v>11</v>
      </c>
      <c r="D70" s="6" t="s">
        <v>44</v>
      </c>
      <c r="E70" s="7">
        <v>41467</v>
      </c>
      <c r="F70" s="7">
        <v>2</v>
      </c>
      <c r="G70" s="8">
        <v>42484</v>
      </c>
      <c r="H70" s="6" t="s">
        <v>13</v>
      </c>
      <c r="I70" s="9" t="s">
        <v>70</v>
      </c>
    </row>
    <row r="71" spans="1:9" x14ac:dyDescent="0.3">
      <c r="A71" s="10" t="s">
        <v>156</v>
      </c>
      <c r="B71" s="11" t="s">
        <v>51</v>
      </c>
      <c r="C71" s="11" t="s">
        <v>11</v>
      </c>
      <c r="D71" s="11" t="s">
        <v>12</v>
      </c>
      <c r="E71" s="12">
        <v>77096</v>
      </c>
      <c r="F71" s="12">
        <v>1</v>
      </c>
      <c r="G71" s="13">
        <v>42491</v>
      </c>
      <c r="H71" s="11" t="s">
        <v>22</v>
      </c>
      <c r="I71" s="14" t="s">
        <v>157</v>
      </c>
    </row>
    <row r="72" spans="1:9" x14ac:dyDescent="0.3">
      <c r="A72" s="5" t="s">
        <v>158</v>
      </c>
      <c r="B72" s="6" t="s">
        <v>16</v>
      </c>
      <c r="C72" s="6" t="s">
        <v>26</v>
      </c>
      <c r="D72" s="6" t="s">
        <v>61</v>
      </c>
      <c r="E72" s="7">
        <v>69952</v>
      </c>
      <c r="F72" s="7">
        <v>5</v>
      </c>
      <c r="G72" s="8">
        <v>42498</v>
      </c>
      <c r="H72" s="6" t="s">
        <v>22</v>
      </c>
      <c r="I72" s="9" t="s">
        <v>14</v>
      </c>
    </row>
    <row r="73" spans="1:9" x14ac:dyDescent="0.3">
      <c r="A73" s="10" t="s">
        <v>159</v>
      </c>
      <c r="B73" s="11" t="s">
        <v>16</v>
      </c>
      <c r="C73" s="11" t="s">
        <v>39</v>
      </c>
      <c r="D73" s="11" t="s">
        <v>27</v>
      </c>
      <c r="E73" s="12">
        <v>85065</v>
      </c>
      <c r="F73" s="12">
        <v>3</v>
      </c>
      <c r="G73" s="13">
        <v>42505</v>
      </c>
      <c r="H73" s="11" t="s">
        <v>13</v>
      </c>
      <c r="I73" s="14" t="s">
        <v>160</v>
      </c>
    </row>
    <row r="74" spans="1:9" x14ac:dyDescent="0.3">
      <c r="A74" s="5" t="s">
        <v>161</v>
      </c>
      <c r="B74" s="6" t="s">
        <v>51</v>
      </c>
      <c r="C74" s="6" t="s">
        <v>39</v>
      </c>
      <c r="D74" s="6" t="s">
        <v>12</v>
      </c>
      <c r="E74" s="7">
        <v>56512</v>
      </c>
      <c r="F74" s="7">
        <v>1</v>
      </c>
      <c r="G74" s="8">
        <v>42512</v>
      </c>
      <c r="H74" s="6" t="s">
        <v>28</v>
      </c>
      <c r="I74" s="9" t="s">
        <v>45</v>
      </c>
    </row>
    <row r="75" spans="1:9" x14ac:dyDescent="0.3">
      <c r="A75" s="10" t="s">
        <v>162</v>
      </c>
      <c r="B75" s="11" t="s">
        <v>25</v>
      </c>
      <c r="C75" s="11" t="s">
        <v>26</v>
      </c>
      <c r="D75" s="11" t="s">
        <v>12</v>
      </c>
      <c r="E75" s="12">
        <v>91101</v>
      </c>
      <c r="F75" s="12">
        <v>4</v>
      </c>
      <c r="G75" s="13">
        <v>42519</v>
      </c>
      <c r="H75" s="11" t="s">
        <v>22</v>
      </c>
      <c r="I75" s="14" t="s">
        <v>144</v>
      </c>
    </row>
    <row r="76" spans="1:9" x14ac:dyDescent="0.3">
      <c r="A76" s="5" t="s">
        <v>163</v>
      </c>
      <c r="B76" s="6" t="s">
        <v>37</v>
      </c>
      <c r="C76" s="6" t="s">
        <v>39</v>
      </c>
      <c r="D76" s="6" t="s">
        <v>18</v>
      </c>
      <c r="E76" s="7">
        <v>41243</v>
      </c>
      <c r="F76" s="7">
        <v>1</v>
      </c>
      <c r="G76" s="8">
        <v>42526</v>
      </c>
      <c r="H76" s="6" t="s">
        <v>28</v>
      </c>
      <c r="I76" s="9" t="s">
        <v>90</v>
      </c>
    </row>
    <row r="77" spans="1:9" x14ac:dyDescent="0.3">
      <c r="A77" s="10" t="s">
        <v>164</v>
      </c>
      <c r="B77" s="11" t="s">
        <v>10</v>
      </c>
      <c r="C77" s="11" t="s">
        <v>26</v>
      </c>
      <c r="D77" s="11" t="s">
        <v>12</v>
      </c>
      <c r="E77" s="12">
        <v>96142</v>
      </c>
      <c r="F77" s="12">
        <v>1</v>
      </c>
      <c r="G77" s="13">
        <v>42533</v>
      </c>
      <c r="H77" s="11" t="s">
        <v>13</v>
      </c>
      <c r="I77" s="14" t="s">
        <v>165</v>
      </c>
    </row>
    <row r="78" spans="1:9" x14ac:dyDescent="0.3">
      <c r="A78" s="5" t="s">
        <v>166</v>
      </c>
      <c r="B78" s="6" t="s">
        <v>16</v>
      </c>
      <c r="C78" s="6" t="s">
        <v>34</v>
      </c>
      <c r="D78" s="6" t="s">
        <v>12</v>
      </c>
      <c r="E78" s="7">
        <v>94301</v>
      </c>
      <c r="F78" s="7">
        <v>1</v>
      </c>
      <c r="G78" s="8">
        <v>42540</v>
      </c>
      <c r="H78" s="6" t="s">
        <v>22</v>
      </c>
      <c r="I78" s="9" t="s">
        <v>115</v>
      </c>
    </row>
    <row r="79" spans="1:9" x14ac:dyDescent="0.3">
      <c r="A79" s="10" t="s">
        <v>167</v>
      </c>
      <c r="B79" s="11" t="s">
        <v>31</v>
      </c>
      <c r="C79" s="11" t="s">
        <v>39</v>
      </c>
      <c r="D79" s="11" t="s">
        <v>44</v>
      </c>
      <c r="E79" s="12">
        <v>69166</v>
      </c>
      <c r="F79" s="12">
        <v>1</v>
      </c>
      <c r="G79" s="13">
        <v>42547</v>
      </c>
      <c r="H79" s="11" t="s">
        <v>28</v>
      </c>
      <c r="I79" s="14" t="s">
        <v>168</v>
      </c>
    </row>
    <row r="80" spans="1:9" x14ac:dyDescent="0.3">
      <c r="A80" s="5" t="s">
        <v>169</v>
      </c>
      <c r="B80" s="6" t="s">
        <v>37</v>
      </c>
      <c r="C80" s="6" t="s">
        <v>39</v>
      </c>
      <c r="D80" s="6" t="s">
        <v>44</v>
      </c>
      <c r="E80" s="7">
        <v>78245</v>
      </c>
      <c r="F80" s="7">
        <v>2</v>
      </c>
      <c r="G80" s="8">
        <v>42554</v>
      </c>
      <c r="H80" s="6" t="s">
        <v>13</v>
      </c>
      <c r="I80" s="9" t="s">
        <v>170</v>
      </c>
    </row>
    <row r="81" spans="1:9" x14ac:dyDescent="0.3">
      <c r="A81" s="10" t="s">
        <v>171</v>
      </c>
      <c r="B81" s="11" t="s">
        <v>10</v>
      </c>
      <c r="C81" s="11" t="s">
        <v>26</v>
      </c>
      <c r="D81" s="11" t="s">
        <v>27</v>
      </c>
      <c r="E81" s="12">
        <v>66079</v>
      </c>
      <c r="F81" s="12">
        <v>2</v>
      </c>
      <c r="G81" s="13">
        <v>42561</v>
      </c>
      <c r="H81" s="11" t="s">
        <v>22</v>
      </c>
      <c r="I81" s="14" t="s">
        <v>172</v>
      </c>
    </row>
    <row r="82" spans="1:9" x14ac:dyDescent="0.3">
      <c r="A82" s="5" t="s">
        <v>173</v>
      </c>
      <c r="B82" s="6" t="s">
        <v>16</v>
      </c>
      <c r="C82" s="6" t="s">
        <v>39</v>
      </c>
      <c r="D82" s="6" t="s">
        <v>12</v>
      </c>
      <c r="E82" s="7">
        <v>65072</v>
      </c>
      <c r="F82" s="7">
        <v>1</v>
      </c>
      <c r="G82" s="8">
        <v>42568</v>
      </c>
      <c r="H82" s="6" t="s">
        <v>13</v>
      </c>
      <c r="I82" s="9" t="s">
        <v>84</v>
      </c>
    </row>
    <row r="83" spans="1:9" x14ac:dyDescent="0.3">
      <c r="A83" s="10" t="s">
        <v>174</v>
      </c>
      <c r="B83" s="11" t="s">
        <v>31</v>
      </c>
      <c r="C83" s="11" t="s">
        <v>26</v>
      </c>
      <c r="D83" s="11" t="s">
        <v>27</v>
      </c>
      <c r="E83" s="12">
        <v>95621</v>
      </c>
      <c r="F83" s="12">
        <v>3</v>
      </c>
      <c r="G83" s="13">
        <v>42575</v>
      </c>
      <c r="H83" s="11" t="s">
        <v>28</v>
      </c>
      <c r="I83" s="14" t="s">
        <v>175</v>
      </c>
    </row>
    <row r="84" spans="1:9" x14ac:dyDescent="0.3">
      <c r="A84" s="5" t="s">
        <v>176</v>
      </c>
      <c r="B84" s="6" t="s">
        <v>16</v>
      </c>
      <c r="C84" s="6" t="s">
        <v>34</v>
      </c>
      <c r="D84" s="6" t="s">
        <v>44</v>
      </c>
      <c r="E84" s="7">
        <v>42262</v>
      </c>
      <c r="F84" s="7">
        <v>1</v>
      </c>
      <c r="G84" s="8">
        <v>42582</v>
      </c>
      <c r="H84" s="6" t="s">
        <v>28</v>
      </c>
      <c r="I84" s="9" t="s">
        <v>177</v>
      </c>
    </row>
    <row r="85" spans="1:9" x14ac:dyDescent="0.3">
      <c r="A85" s="10" t="s">
        <v>178</v>
      </c>
      <c r="B85" s="11" t="s">
        <v>37</v>
      </c>
      <c r="C85" s="11" t="s">
        <v>26</v>
      </c>
      <c r="D85" s="11" t="s">
        <v>12</v>
      </c>
      <c r="E85" s="12">
        <v>99621</v>
      </c>
      <c r="F85" s="12">
        <v>1</v>
      </c>
      <c r="G85" s="13">
        <v>42589</v>
      </c>
      <c r="H85" s="11" t="s">
        <v>28</v>
      </c>
      <c r="I85" s="14" t="s">
        <v>179</v>
      </c>
    </row>
    <row r="86" spans="1:9" x14ac:dyDescent="0.3">
      <c r="A86" s="5" t="s">
        <v>180</v>
      </c>
      <c r="B86" s="6" t="s">
        <v>25</v>
      </c>
      <c r="C86" s="6" t="s">
        <v>39</v>
      </c>
      <c r="D86" s="6" t="s">
        <v>12</v>
      </c>
      <c r="E86" s="7">
        <v>44682</v>
      </c>
      <c r="F86" s="7">
        <v>4</v>
      </c>
      <c r="G86" s="8">
        <v>42596</v>
      </c>
      <c r="H86" s="6" t="s">
        <v>13</v>
      </c>
      <c r="I86" s="9" t="s">
        <v>109</v>
      </c>
    </row>
    <row r="87" spans="1:9" x14ac:dyDescent="0.3">
      <c r="A87" s="10" t="s">
        <v>181</v>
      </c>
      <c r="B87" s="11" t="s">
        <v>10</v>
      </c>
      <c r="C87" s="11" t="s">
        <v>11</v>
      </c>
      <c r="D87" s="11" t="s">
        <v>12</v>
      </c>
      <c r="E87" s="12">
        <v>35163</v>
      </c>
      <c r="F87" s="12">
        <v>5</v>
      </c>
      <c r="G87" s="13">
        <v>42603</v>
      </c>
      <c r="H87" s="11" t="s">
        <v>13</v>
      </c>
      <c r="I87" s="14" t="s">
        <v>182</v>
      </c>
    </row>
    <row r="88" spans="1:9" x14ac:dyDescent="0.3">
      <c r="A88" s="5" t="s">
        <v>183</v>
      </c>
      <c r="B88" s="6" t="s">
        <v>10</v>
      </c>
      <c r="C88" s="6" t="s">
        <v>34</v>
      </c>
      <c r="D88" s="6" t="s">
        <v>12</v>
      </c>
      <c r="E88" s="7">
        <v>33483</v>
      </c>
      <c r="F88" s="7">
        <v>4</v>
      </c>
      <c r="G88" s="8">
        <v>42610</v>
      </c>
      <c r="H88" s="6" t="s">
        <v>28</v>
      </c>
      <c r="I88" s="9" t="s">
        <v>184</v>
      </c>
    </row>
    <row r="89" spans="1:9" x14ac:dyDescent="0.3">
      <c r="A89" s="10" t="s">
        <v>185</v>
      </c>
      <c r="B89" s="11" t="s">
        <v>37</v>
      </c>
      <c r="C89" s="11" t="s">
        <v>17</v>
      </c>
      <c r="D89" s="11" t="s">
        <v>18</v>
      </c>
      <c r="E89" s="12">
        <v>55303</v>
      </c>
      <c r="F89" s="12">
        <v>4</v>
      </c>
      <c r="G89" s="13">
        <v>42617</v>
      </c>
      <c r="H89" s="11" t="s">
        <v>28</v>
      </c>
      <c r="I89" s="14" t="s">
        <v>74</v>
      </c>
    </row>
    <row r="90" spans="1:9" x14ac:dyDescent="0.3">
      <c r="A90" s="5" t="s">
        <v>186</v>
      </c>
      <c r="B90" s="6" t="s">
        <v>10</v>
      </c>
      <c r="C90" s="6" t="s">
        <v>34</v>
      </c>
      <c r="D90" s="6" t="s">
        <v>12</v>
      </c>
      <c r="E90" s="7">
        <v>63434</v>
      </c>
      <c r="F90" s="7">
        <v>3</v>
      </c>
      <c r="G90" s="8">
        <v>42624</v>
      </c>
      <c r="H90" s="6" t="s">
        <v>28</v>
      </c>
      <c r="I90" s="9" t="s">
        <v>187</v>
      </c>
    </row>
    <row r="91" spans="1:9" x14ac:dyDescent="0.3">
      <c r="A91" s="10" t="s">
        <v>188</v>
      </c>
      <c r="B91" s="11" t="s">
        <v>31</v>
      </c>
      <c r="C91" s="11" t="s">
        <v>39</v>
      </c>
      <c r="D91" s="11" t="s">
        <v>61</v>
      </c>
      <c r="E91" s="12">
        <v>38830</v>
      </c>
      <c r="F91" s="12">
        <v>3</v>
      </c>
      <c r="G91" s="13">
        <v>42631</v>
      </c>
      <c r="H91" s="11" t="s">
        <v>22</v>
      </c>
      <c r="I91" s="14" t="s">
        <v>74</v>
      </c>
    </row>
    <row r="92" spans="1:9" x14ac:dyDescent="0.3">
      <c r="A92" s="5" t="s">
        <v>189</v>
      </c>
      <c r="B92" s="6" t="s">
        <v>10</v>
      </c>
      <c r="C92" s="6" t="s">
        <v>39</v>
      </c>
      <c r="D92" s="6" t="s">
        <v>44</v>
      </c>
      <c r="E92" s="7">
        <v>50741</v>
      </c>
      <c r="F92" s="7">
        <v>3</v>
      </c>
      <c r="G92" s="8">
        <v>42638</v>
      </c>
      <c r="H92" s="6" t="s">
        <v>13</v>
      </c>
      <c r="I92" s="9" t="s">
        <v>157</v>
      </c>
    </row>
    <row r="93" spans="1:9" x14ac:dyDescent="0.3">
      <c r="A93" s="10" t="s">
        <v>190</v>
      </c>
      <c r="B93" s="11" t="s">
        <v>21</v>
      </c>
      <c r="C93" s="11" t="s">
        <v>17</v>
      </c>
      <c r="D93" s="11" t="s">
        <v>61</v>
      </c>
      <c r="E93" s="12">
        <v>69420</v>
      </c>
      <c r="F93" s="12">
        <v>1</v>
      </c>
      <c r="G93" s="13">
        <v>42645</v>
      </c>
      <c r="H93" s="11" t="s">
        <v>22</v>
      </c>
      <c r="I93" s="14" t="s">
        <v>120</v>
      </c>
    </row>
    <row r="94" spans="1:9" x14ac:dyDescent="0.3">
      <c r="A94" s="5" t="s">
        <v>191</v>
      </c>
      <c r="B94" s="6" t="s">
        <v>31</v>
      </c>
      <c r="C94" s="6" t="s">
        <v>34</v>
      </c>
      <c r="D94" s="6" t="s">
        <v>12</v>
      </c>
      <c r="E94" s="7">
        <v>80588</v>
      </c>
      <c r="F94" s="7">
        <v>5</v>
      </c>
      <c r="G94" s="8">
        <v>42652</v>
      </c>
      <c r="H94" s="6" t="s">
        <v>28</v>
      </c>
      <c r="I94" s="9" t="s">
        <v>101</v>
      </c>
    </row>
    <row r="95" spans="1:9" x14ac:dyDescent="0.3">
      <c r="A95" s="10" t="s">
        <v>192</v>
      </c>
      <c r="B95" s="11" t="s">
        <v>21</v>
      </c>
      <c r="C95" s="11" t="s">
        <v>39</v>
      </c>
      <c r="D95" s="11" t="s">
        <v>27</v>
      </c>
      <c r="E95" s="12">
        <v>76238</v>
      </c>
      <c r="F95" s="12">
        <v>4</v>
      </c>
      <c r="G95" s="13">
        <v>42659</v>
      </c>
      <c r="H95" s="11" t="s">
        <v>28</v>
      </c>
      <c r="I95" s="14" t="s">
        <v>193</v>
      </c>
    </row>
    <row r="96" spans="1:9" x14ac:dyDescent="0.3">
      <c r="A96" s="5" t="s">
        <v>194</v>
      </c>
      <c r="B96" s="6" t="s">
        <v>51</v>
      </c>
      <c r="C96" s="6" t="s">
        <v>34</v>
      </c>
      <c r="D96" s="6" t="s">
        <v>12</v>
      </c>
      <c r="E96" s="7">
        <v>33264</v>
      </c>
      <c r="F96" s="7">
        <v>1</v>
      </c>
      <c r="G96" s="8">
        <v>42666</v>
      </c>
      <c r="H96" s="6" t="s">
        <v>28</v>
      </c>
      <c r="I96" s="9" t="s">
        <v>195</v>
      </c>
    </row>
    <row r="97" spans="1:9" x14ac:dyDescent="0.3">
      <c r="A97" s="10" t="s">
        <v>196</v>
      </c>
      <c r="B97" s="11" t="s">
        <v>21</v>
      </c>
      <c r="C97" s="11" t="s">
        <v>11</v>
      </c>
      <c r="D97" s="11" t="s">
        <v>61</v>
      </c>
      <c r="E97" s="12">
        <v>96101</v>
      </c>
      <c r="F97" s="12">
        <v>1</v>
      </c>
      <c r="G97" s="13">
        <v>42673</v>
      </c>
      <c r="H97" s="11" t="s">
        <v>13</v>
      </c>
      <c r="I97" s="14" t="s">
        <v>197</v>
      </c>
    </row>
    <row r="98" spans="1:9" x14ac:dyDescent="0.3">
      <c r="A98" s="5" t="s">
        <v>198</v>
      </c>
      <c r="B98" s="6" t="s">
        <v>31</v>
      </c>
      <c r="C98" s="6" t="s">
        <v>11</v>
      </c>
      <c r="D98" s="6" t="s">
        <v>27</v>
      </c>
      <c r="E98" s="7">
        <v>72939</v>
      </c>
      <c r="F98" s="7">
        <v>3</v>
      </c>
      <c r="G98" s="8">
        <v>42680</v>
      </c>
      <c r="H98" s="6" t="s">
        <v>28</v>
      </c>
      <c r="I98" s="9" t="s">
        <v>199</v>
      </c>
    </row>
    <row r="99" spans="1:9" x14ac:dyDescent="0.3">
      <c r="A99" s="10" t="s">
        <v>200</v>
      </c>
      <c r="B99" s="11" t="s">
        <v>37</v>
      </c>
      <c r="C99" s="11" t="s">
        <v>17</v>
      </c>
      <c r="D99" s="11" t="s">
        <v>18</v>
      </c>
      <c r="E99" s="12">
        <v>89333</v>
      </c>
      <c r="F99" s="12">
        <v>1</v>
      </c>
      <c r="G99" s="13">
        <v>42687</v>
      </c>
      <c r="H99" s="11" t="s">
        <v>22</v>
      </c>
      <c r="I99" s="14" t="s">
        <v>201</v>
      </c>
    </row>
    <row r="100" spans="1:9" x14ac:dyDescent="0.3">
      <c r="A100" s="5" t="s">
        <v>202</v>
      </c>
      <c r="B100" s="6" t="s">
        <v>51</v>
      </c>
      <c r="C100" s="6" t="s">
        <v>34</v>
      </c>
      <c r="D100" s="6" t="s">
        <v>61</v>
      </c>
      <c r="E100" s="7">
        <v>70470</v>
      </c>
      <c r="F100" s="7">
        <v>1</v>
      </c>
      <c r="G100" s="8">
        <v>42694</v>
      </c>
      <c r="H100" s="6" t="s">
        <v>13</v>
      </c>
      <c r="I100" s="9" t="s">
        <v>203</v>
      </c>
    </row>
    <row r="101" spans="1:9" x14ac:dyDescent="0.3">
      <c r="A101" s="10" t="s">
        <v>204</v>
      </c>
      <c r="B101" s="11" t="s">
        <v>16</v>
      </c>
      <c r="C101" s="11" t="s">
        <v>39</v>
      </c>
      <c r="D101" s="11" t="s">
        <v>27</v>
      </c>
      <c r="E101" s="12">
        <v>70096</v>
      </c>
      <c r="F101" s="12">
        <v>4</v>
      </c>
      <c r="G101" s="13">
        <v>42701</v>
      </c>
      <c r="H101" s="11" t="s">
        <v>22</v>
      </c>
      <c r="I101" s="14" t="s">
        <v>205</v>
      </c>
    </row>
    <row r="102" spans="1:9" x14ac:dyDescent="0.3">
      <c r="A102" s="5" t="s">
        <v>206</v>
      </c>
      <c r="B102" s="6" t="s">
        <v>51</v>
      </c>
      <c r="C102" s="6" t="s">
        <v>39</v>
      </c>
      <c r="D102" s="6" t="s">
        <v>12</v>
      </c>
      <c r="E102" s="7">
        <v>65072</v>
      </c>
      <c r="F102" s="7">
        <v>2</v>
      </c>
      <c r="G102" s="8">
        <v>42708</v>
      </c>
      <c r="H102" s="6" t="s">
        <v>13</v>
      </c>
      <c r="I102" s="9" t="s">
        <v>207</v>
      </c>
    </row>
    <row r="103" spans="1:9" x14ac:dyDescent="0.3">
      <c r="A103" s="10" t="s">
        <v>208</v>
      </c>
      <c r="B103" s="11" t="s">
        <v>51</v>
      </c>
      <c r="C103" s="11" t="s">
        <v>34</v>
      </c>
      <c r="D103" s="11" t="s">
        <v>18</v>
      </c>
      <c r="E103" s="12">
        <v>66503</v>
      </c>
      <c r="F103" s="12">
        <v>1</v>
      </c>
      <c r="G103" s="13">
        <v>42715</v>
      </c>
      <c r="H103" s="11" t="s">
        <v>28</v>
      </c>
      <c r="I103" s="14" t="s">
        <v>68</v>
      </c>
    </row>
    <row r="104" spans="1:9" x14ac:dyDescent="0.3">
      <c r="A104" s="5" t="s">
        <v>209</v>
      </c>
      <c r="B104" s="6" t="s">
        <v>21</v>
      </c>
      <c r="C104" s="6" t="s">
        <v>17</v>
      </c>
      <c r="D104" s="6" t="s">
        <v>18</v>
      </c>
      <c r="E104" s="7">
        <v>42096</v>
      </c>
      <c r="F104" s="7">
        <v>1</v>
      </c>
      <c r="G104" s="8">
        <v>42722</v>
      </c>
      <c r="H104" s="6" t="s">
        <v>22</v>
      </c>
      <c r="I104" s="9" t="s">
        <v>210</v>
      </c>
    </row>
    <row r="105" spans="1:9" x14ac:dyDescent="0.3">
      <c r="A105" s="10" t="s">
        <v>211</v>
      </c>
      <c r="B105" s="11" t="s">
        <v>21</v>
      </c>
      <c r="C105" s="11" t="s">
        <v>39</v>
      </c>
      <c r="D105" s="11" t="s">
        <v>12</v>
      </c>
      <c r="E105" s="12">
        <v>79145</v>
      </c>
      <c r="F105" s="12">
        <v>5</v>
      </c>
      <c r="G105" s="13">
        <v>42729</v>
      </c>
      <c r="H105" s="11" t="s">
        <v>22</v>
      </c>
      <c r="I105" s="14" t="s">
        <v>115</v>
      </c>
    </row>
    <row r="106" spans="1:9" x14ac:dyDescent="0.3">
      <c r="A106" s="5" t="s">
        <v>212</v>
      </c>
      <c r="B106" s="6" t="s">
        <v>31</v>
      </c>
      <c r="C106" s="6" t="s">
        <v>39</v>
      </c>
      <c r="D106" s="6" t="s">
        <v>61</v>
      </c>
      <c r="E106" s="7">
        <v>61556</v>
      </c>
      <c r="F106" s="7">
        <v>1</v>
      </c>
      <c r="G106" s="8">
        <v>42736</v>
      </c>
      <c r="H106" s="6" t="s">
        <v>22</v>
      </c>
      <c r="I106" s="9" t="s">
        <v>207</v>
      </c>
    </row>
    <row r="107" spans="1:9" x14ac:dyDescent="0.3">
      <c r="A107" s="10" t="s">
        <v>213</v>
      </c>
      <c r="B107" s="11" t="s">
        <v>10</v>
      </c>
      <c r="C107" s="11" t="s">
        <v>17</v>
      </c>
      <c r="D107" s="11" t="s">
        <v>44</v>
      </c>
      <c r="E107" s="12">
        <v>87963</v>
      </c>
      <c r="F107" s="12">
        <v>3</v>
      </c>
      <c r="G107" s="13">
        <v>42743</v>
      </c>
      <c r="H107" s="11" t="s">
        <v>22</v>
      </c>
      <c r="I107" s="14" t="s">
        <v>14</v>
      </c>
    </row>
    <row r="108" spans="1:9" x14ac:dyDescent="0.3">
      <c r="A108" s="5" t="s">
        <v>214</v>
      </c>
      <c r="B108" s="6" t="s">
        <v>16</v>
      </c>
      <c r="C108" s="6" t="s">
        <v>34</v>
      </c>
      <c r="D108" s="6" t="s">
        <v>12</v>
      </c>
      <c r="E108" s="7">
        <v>48325</v>
      </c>
      <c r="F108" s="7">
        <v>1</v>
      </c>
      <c r="G108" s="8">
        <v>42750</v>
      </c>
      <c r="H108" s="6" t="s">
        <v>13</v>
      </c>
      <c r="I108" s="9" t="s">
        <v>215</v>
      </c>
    </row>
    <row r="109" spans="1:9" x14ac:dyDescent="0.3">
      <c r="A109" s="10" t="s">
        <v>216</v>
      </c>
      <c r="B109" s="11" t="s">
        <v>37</v>
      </c>
      <c r="C109" s="11" t="s">
        <v>39</v>
      </c>
      <c r="D109" s="11" t="s">
        <v>61</v>
      </c>
      <c r="E109" s="12">
        <v>86412</v>
      </c>
      <c r="F109" s="12">
        <v>2</v>
      </c>
      <c r="G109" s="13">
        <v>42757</v>
      </c>
      <c r="H109" s="11" t="s">
        <v>28</v>
      </c>
      <c r="I109" s="14" t="s">
        <v>72</v>
      </c>
    </row>
    <row r="110" spans="1:9" x14ac:dyDescent="0.3">
      <c r="A110" s="5" t="s">
        <v>217</v>
      </c>
      <c r="B110" s="6" t="s">
        <v>37</v>
      </c>
      <c r="C110" s="6" t="s">
        <v>17</v>
      </c>
      <c r="D110" s="6" t="s">
        <v>12</v>
      </c>
      <c r="E110" s="7">
        <v>66761</v>
      </c>
      <c r="F110" s="7">
        <v>1</v>
      </c>
      <c r="G110" s="8">
        <v>42764</v>
      </c>
      <c r="H110" s="6" t="s">
        <v>28</v>
      </c>
      <c r="I110" s="9" t="s">
        <v>218</v>
      </c>
    </row>
    <row r="111" spans="1:9" x14ac:dyDescent="0.3">
      <c r="A111" s="10" t="s">
        <v>219</v>
      </c>
      <c r="B111" s="11" t="s">
        <v>31</v>
      </c>
      <c r="C111" s="11" t="s">
        <v>39</v>
      </c>
      <c r="D111" s="11" t="s">
        <v>12</v>
      </c>
      <c r="E111" s="12">
        <v>88850</v>
      </c>
      <c r="F111" s="12">
        <v>1</v>
      </c>
      <c r="G111" s="13">
        <v>42771</v>
      </c>
      <c r="H111" s="11" t="s">
        <v>22</v>
      </c>
      <c r="I111" s="14" t="s">
        <v>220</v>
      </c>
    </row>
    <row r="112" spans="1:9" x14ac:dyDescent="0.3">
      <c r="A112" s="5" t="s">
        <v>221</v>
      </c>
      <c r="B112" s="6" t="s">
        <v>10</v>
      </c>
      <c r="C112" s="6" t="s">
        <v>26</v>
      </c>
      <c r="D112" s="6" t="s">
        <v>12</v>
      </c>
      <c r="E112" s="7">
        <v>31293</v>
      </c>
      <c r="F112" s="7">
        <v>2</v>
      </c>
      <c r="G112" s="8">
        <v>42778</v>
      </c>
      <c r="H112" s="6" t="s">
        <v>22</v>
      </c>
      <c r="I112" s="9" t="s">
        <v>222</v>
      </c>
    </row>
    <row r="113" spans="1:9" x14ac:dyDescent="0.3">
      <c r="A113" s="10" t="s">
        <v>223</v>
      </c>
      <c r="B113" s="11" t="s">
        <v>10</v>
      </c>
      <c r="C113" s="11" t="s">
        <v>34</v>
      </c>
      <c r="D113" s="11" t="s">
        <v>27</v>
      </c>
      <c r="E113" s="12">
        <v>34306</v>
      </c>
      <c r="F113" s="12">
        <v>5</v>
      </c>
      <c r="G113" s="13">
        <v>42785</v>
      </c>
      <c r="H113" s="11" t="s">
        <v>28</v>
      </c>
      <c r="I113" s="14" t="s">
        <v>154</v>
      </c>
    </row>
    <row r="114" spans="1:9" x14ac:dyDescent="0.3">
      <c r="A114" s="5" t="s">
        <v>224</v>
      </c>
      <c r="B114" s="6" t="s">
        <v>16</v>
      </c>
      <c r="C114" s="6" t="s">
        <v>11</v>
      </c>
      <c r="D114" s="6" t="s">
        <v>12</v>
      </c>
      <c r="E114" s="7">
        <v>78330</v>
      </c>
      <c r="F114" s="7">
        <v>1</v>
      </c>
      <c r="G114" s="8">
        <v>42792</v>
      </c>
      <c r="H114" s="6" t="s">
        <v>22</v>
      </c>
      <c r="I114" s="9" t="s">
        <v>205</v>
      </c>
    </row>
    <row r="115" spans="1:9" x14ac:dyDescent="0.3">
      <c r="A115" s="10" t="s">
        <v>225</v>
      </c>
      <c r="B115" s="11" t="s">
        <v>21</v>
      </c>
      <c r="C115" s="11" t="s">
        <v>34</v>
      </c>
      <c r="D115" s="11" t="s">
        <v>27</v>
      </c>
      <c r="E115" s="12">
        <v>47653</v>
      </c>
      <c r="F115" s="12">
        <v>1</v>
      </c>
      <c r="G115" s="13">
        <v>42799</v>
      </c>
      <c r="H115" s="11" t="s">
        <v>22</v>
      </c>
      <c r="I115" s="14" t="s">
        <v>226</v>
      </c>
    </row>
    <row r="116" spans="1:9" x14ac:dyDescent="0.3">
      <c r="A116" s="5" t="s">
        <v>227</v>
      </c>
      <c r="B116" s="6" t="s">
        <v>16</v>
      </c>
      <c r="C116" s="6" t="s">
        <v>39</v>
      </c>
      <c r="D116" s="6" t="s">
        <v>44</v>
      </c>
      <c r="E116" s="7">
        <v>44627</v>
      </c>
      <c r="F116" s="7">
        <v>4</v>
      </c>
      <c r="G116" s="8">
        <v>42806</v>
      </c>
      <c r="H116" s="6" t="s">
        <v>22</v>
      </c>
      <c r="I116" s="9" t="s">
        <v>146</v>
      </c>
    </row>
    <row r="117" spans="1:9" x14ac:dyDescent="0.3">
      <c r="A117" s="10" t="s">
        <v>228</v>
      </c>
      <c r="B117" s="11" t="s">
        <v>51</v>
      </c>
      <c r="C117" s="11" t="s">
        <v>17</v>
      </c>
      <c r="D117" s="11" t="s">
        <v>18</v>
      </c>
      <c r="E117" s="12">
        <v>92343</v>
      </c>
      <c r="F117" s="12">
        <v>4</v>
      </c>
      <c r="G117" s="13">
        <v>42813</v>
      </c>
      <c r="H117" s="11" t="s">
        <v>28</v>
      </c>
      <c r="I117" s="14" t="s">
        <v>74</v>
      </c>
    </row>
    <row r="118" spans="1:9" x14ac:dyDescent="0.3">
      <c r="A118" s="5" t="s">
        <v>229</v>
      </c>
      <c r="B118" s="6" t="s">
        <v>51</v>
      </c>
      <c r="C118" s="6" t="s">
        <v>39</v>
      </c>
      <c r="D118" s="6" t="s">
        <v>61</v>
      </c>
      <c r="E118" s="7">
        <v>38837</v>
      </c>
      <c r="F118" s="7">
        <v>5</v>
      </c>
      <c r="G118" s="8">
        <v>42820</v>
      </c>
      <c r="H118" s="6" t="s">
        <v>28</v>
      </c>
      <c r="I118" s="9" t="s">
        <v>154</v>
      </c>
    </row>
    <row r="119" spans="1:9" x14ac:dyDescent="0.3">
      <c r="A119" s="10" t="s">
        <v>230</v>
      </c>
      <c r="B119" s="11" t="s">
        <v>51</v>
      </c>
      <c r="C119" s="11" t="s">
        <v>39</v>
      </c>
      <c r="D119" s="11" t="s">
        <v>12</v>
      </c>
      <c r="E119" s="12">
        <v>73483</v>
      </c>
      <c r="F119" s="12">
        <v>1</v>
      </c>
      <c r="G119" s="13">
        <v>42827</v>
      </c>
      <c r="H119" s="11" t="s">
        <v>22</v>
      </c>
      <c r="I119" s="14" t="s">
        <v>231</v>
      </c>
    </row>
    <row r="120" spans="1:9" x14ac:dyDescent="0.3">
      <c r="A120" s="5" t="s">
        <v>232</v>
      </c>
      <c r="B120" s="6" t="s">
        <v>10</v>
      </c>
      <c r="C120" s="6" t="s">
        <v>26</v>
      </c>
      <c r="D120" s="6" t="s">
        <v>12</v>
      </c>
      <c r="E120" s="7">
        <v>95032</v>
      </c>
      <c r="F120" s="7">
        <v>3</v>
      </c>
      <c r="G120" s="8">
        <v>42834</v>
      </c>
      <c r="H120" s="6" t="s">
        <v>13</v>
      </c>
      <c r="I120" s="9" t="s">
        <v>233</v>
      </c>
    </row>
    <row r="121" spans="1:9" x14ac:dyDescent="0.3">
      <c r="A121" s="10" t="s">
        <v>234</v>
      </c>
      <c r="B121" s="11" t="s">
        <v>16</v>
      </c>
      <c r="C121" s="11" t="s">
        <v>26</v>
      </c>
      <c r="D121" s="11" t="s">
        <v>61</v>
      </c>
      <c r="E121" s="12">
        <v>44358</v>
      </c>
      <c r="F121" s="12">
        <v>1</v>
      </c>
      <c r="G121" s="13">
        <v>42841</v>
      </c>
      <c r="H121" s="11" t="s">
        <v>28</v>
      </c>
      <c r="I121" s="14" t="s">
        <v>68</v>
      </c>
    </row>
    <row r="122" spans="1:9" x14ac:dyDescent="0.3">
      <c r="A122" s="5" t="s">
        <v>235</v>
      </c>
      <c r="B122" s="6" t="s">
        <v>10</v>
      </c>
      <c r="C122" s="6" t="s">
        <v>34</v>
      </c>
      <c r="D122" s="6" t="s">
        <v>27</v>
      </c>
      <c r="E122" s="7">
        <v>66158</v>
      </c>
      <c r="F122" s="7">
        <v>5</v>
      </c>
      <c r="G122" s="8">
        <v>42848</v>
      </c>
      <c r="H122" s="6" t="s">
        <v>28</v>
      </c>
      <c r="I122" s="9" t="s">
        <v>236</v>
      </c>
    </row>
    <row r="123" spans="1:9" x14ac:dyDescent="0.3">
      <c r="A123" s="10" t="s">
        <v>237</v>
      </c>
      <c r="B123" s="11" t="s">
        <v>10</v>
      </c>
      <c r="C123" s="11" t="s">
        <v>26</v>
      </c>
      <c r="D123" s="11" t="s">
        <v>27</v>
      </c>
      <c r="E123" s="12">
        <v>45676</v>
      </c>
      <c r="F123" s="12">
        <v>2</v>
      </c>
      <c r="G123" s="13">
        <v>42855</v>
      </c>
      <c r="H123" s="11" t="s">
        <v>13</v>
      </c>
      <c r="I123" s="14" t="s">
        <v>238</v>
      </c>
    </row>
    <row r="124" spans="1:9" x14ac:dyDescent="0.3">
      <c r="A124" s="5" t="s">
        <v>239</v>
      </c>
      <c r="B124" s="6" t="s">
        <v>51</v>
      </c>
      <c r="C124" s="6" t="s">
        <v>26</v>
      </c>
      <c r="D124" s="6" t="s">
        <v>18</v>
      </c>
      <c r="E124" s="7">
        <v>52036</v>
      </c>
      <c r="F124" s="7">
        <v>3</v>
      </c>
      <c r="G124" s="8">
        <v>42862</v>
      </c>
      <c r="H124" s="6" t="s">
        <v>28</v>
      </c>
      <c r="I124" s="9" t="s">
        <v>240</v>
      </c>
    </row>
    <row r="125" spans="1:9" x14ac:dyDescent="0.3">
      <c r="A125" s="10" t="s">
        <v>241</v>
      </c>
      <c r="B125" s="11" t="s">
        <v>31</v>
      </c>
      <c r="C125" s="11" t="s">
        <v>39</v>
      </c>
      <c r="D125" s="11" t="s">
        <v>18</v>
      </c>
      <c r="E125" s="12">
        <v>30357</v>
      </c>
      <c r="F125" s="12">
        <v>5</v>
      </c>
      <c r="G125" s="13">
        <v>42869</v>
      </c>
      <c r="H125" s="11" t="s">
        <v>13</v>
      </c>
      <c r="I125" s="14" t="s">
        <v>179</v>
      </c>
    </row>
    <row r="126" spans="1:9" x14ac:dyDescent="0.3">
      <c r="A126" s="5" t="s">
        <v>242</v>
      </c>
      <c r="B126" s="6" t="s">
        <v>25</v>
      </c>
      <c r="C126" s="6" t="s">
        <v>34</v>
      </c>
      <c r="D126" s="6" t="s">
        <v>12</v>
      </c>
      <c r="E126" s="7">
        <v>60034</v>
      </c>
      <c r="F126" s="7">
        <v>1</v>
      </c>
      <c r="G126" s="8">
        <v>42876</v>
      </c>
      <c r="H126" s="6" t="s">
        <v>13</v>
      </c>
      <c r="I126" s="9" t="s">
        <v>243</v>
      </c>
    </row>
    <row r="127" spans="1:9" x14ac:dyDescent="0.3">
      <c r="A127" s="10" t="s">
        <v>244</v>
      </c>
      <c r="B127" s="11" t="s">
        <v>25</v>
      </c>
      <c r="C127" s="11" t="s">
        <v>11</v>
      </c>
      <c r="D127" s="11" t="s">
        <v>12</v>
      </c>
      <c r="E127" s="12">
        <v>90019</v>
      </c>
      <c r="F127" s="12">
        <v>5</v>
      </c>
      <c r="G127" s="13">
        <v>42883</v>
      </c>
      <c r="H127" s="11" t="s">
        <v>13</v>
      </c>
      <c r="I127" s="14" t="s">
        <v>245</v>
      </c>
    </row>
    <row r="128" spans="1:9" x14ac:dyDescent="0.3">
      <c r="A128" s="5" t="s">
        <v>246</v>
      </c>
      <c r="B128" s="6" t="s">
        <v>51</v>
      </c>
      <c r="C128" s="6" t="s">
        <v>39</v>
      </c>
      <c r="D128" s="6" t="s">
        <v>18</v>
      </c>
      <c r="E128" s="7">
        <v>71494</v>
      </c>
      <c r="F128" s="7">
        <v>3</v>
      </c>
      <c r="G128" s="8">
        <v>42890</v>
      </c>
      <c r="H128" s="6" t="s">
        <v>13</v>
      </c>
      <c r="I128" s="9" t="s">
        <v>247</v>
      </c>
    </row>
    <row r="129" spans="1:9" x14ac:dyDescent="0.3">
      <c r="A129" s="10" t="s">
        <v>248</v>
      </c>
      <c r="B129" s="11" t="s">
        <v>25</v>
      </c>
      <c r="C129" s="11" t="s">
        <v>11</v>
      </c>
      <c r="D129" s="11" t="s">
        <v>27</v>
      </c>
      <c r="E129" s="12">
        <v>91953</v>
      </c>
      <c r="F129" s="12">
        <v>2</v>
      </c>
      <c r="G129" s="13">
        <v>42897</v>
      </c>
      <c r="H129" s="11" t="s">
        <v>22</v>
      </c>
      <c r="I129" s="14" t="s">
        <v>86</v>
      </c>
    </row>
    <row r="130" spans="1:9" x14ac:dyDescent="0.3">
      <c r="A130" s="5" t="s">
        <v>249</v>
      </c>
      <c r="B130" s="6" t="s">
        <v>10</v>
      </c>
      <c r="C130" s="6" t="s">
        <v>26</v>
      </c>
      <c r="D130" s="6" t="s">
        <v>27</v>
      </c>
      <c r="E130" s="7">
        <v>30402</v>
      </c>
      <c r="F130" s="7">
        <v>1</v>
      </c>
      <c r="G130" s="8">
        <v>42904</v>
      </c>
      <c r="H130" s="6" t="s">
        <v>13</v>
      </c>
      <c r="I130" s="9" t="s">
        <v>250</v>
      </c>
    </row>
    <row r="131" spans="1:9" x14ac:dyDescent="0.3">
      <c r="A131" s="10" t="s">
        <v>251</v>
      </c>
      <c r="B131" s="11" t="s">
        <v>51</v>
      </c>
      <c r="C131" s="11" t="s">
        <v>39</v>
      </c>
      <c r="D131" s="11" t="s">
        <v>44</v>
      </c>
      <c r="E131" s="12">
        <v>62994</v>
      </c>
      <c r="F131" s="12">
        <v>1</v>
      </c>
      <c r="G131" s="13">
        <v>42911</v>
      </c>
      <c r="H131" s="11" t="s">
        <v>28</v>
      </c>
      <c r="I131" s="14" t="s">
        <v>111</v>
      </c>
    </row>
    <row r="132" spans="1:9" x14ac:dyDescent="0.3">
      <c r="A132" s="5" t="s">
        <v>252</v>
      </c>
      <c r="B132" s="6" t="s">
        <v>21</v>
      </c>
      <c r="C132" s="6" t="s">
        <v>26</v>
      </c>
      <c r="D132" s="6" t="s">
        <v>12</v>
      </c>
      <c r="E132" s="7">
        <v>48289</v>
      </c>
      <c r="F132" s="7">
        <v>3</v>
      </c>
      <c r="G132" s="8">
        <v>42918</v>
      </c>
      <c r="H132" s="6" t="s">
        <v>22</v>
      </c>
      <c r="I132" s="9" t="s">
        <v>42</v>
      </c>
    </row>
    <row r="133" spans="1:9" x14ac:dyDescent="0.3">
      <c r="A133" s="10" t="s">
        <v>253</v>
      </c>
      <c r="B133" s="11" t="s">
        <v>37</v>
      </c>
      <c r="C133" s="11" t="s">
        <v>39</v>
      </c>
      <c r="D133" s="11" t="s">
        <v>18</v>
      </c>
      <c r="E133" s="12">
        <v>34402</v>
      </c>
      <c r="F133" s="12">
        <v>3</v>
      </c>
      <c r="G133" s="13">
        <v>42925</v>
      </c>
      <c r="H133" s="11" t="s">
        <v>28</v>
      </c>
      <c r="I133" s="14" t="s">
        <v>105</v>
      </c>
    </row>
    <row r="134" spans="1:9" x14ac:dyDescent="0.3">
      <c r="A134" s="5" t="s">
        <v>254</v>
      </c>
      <c r="B134" s="6" t="s">
        <v>16</v>
      </c>
      <c r="C134" s="6" t="s">
        <v>17</v>
      </c>
      <c r="D134" s="6" t="s">
        <v>27</v>
      </c>
      <c r="E134" s="7">
        <v>38678</v>
      </c>
      <c r="F134" s="7">
        <v>3</v>
      </c>
      <c r="G134" s="8">
        <v>42932</v>
      </c>
      <c r="H134" s="6" t="s">
        <v>13</v>
      </c>
      <c r="I134" s="9" t="s">
        <v>255</v>
      </c>
    </row>
    <row r="135" spans="1:9" x14ac:dyDescent="0.3">
      <c r="A135" s="10" t="s">
        <v>256</v>
      </c>
      <c r="B135" s="11" t="s">
        <v>10</v>
      </c>
      <c r="C135" s="11" t="s">
        <v>17</v>
      </c>
      <c r="D135" s="11" t="s">
        <v>18</v>
      </c>
      <c r="E135" s="12">
        <v>45758</v>
      </c>
      <c r="F135" s="12">
        <v>3</v>
      </c>
      <c r="G135" s="13">
        <v>42939</v>
      </c>
      <c r="H135" s="11" t="s">
        <v>13</v>
      </c>
      <c r="I135" s="14" t="s">
        <v>222</v>
      </c>
    </row>
    <row r="136" spans="1:9" x14ac:dyDescent="0.3">
      <c r="A136" s="5" t="s">
        <v>257</v>
      </c>
      <c r="B136" s="6" t="s">
        <v>16</v>
      </c>
      <c r="C136" s="6" t="s">
        <v>39</v>
      </c>
      <c r="D136" s="6" t="s">
        <v>12</v>
      </c>
      <c r="E136" s="7">
        <v>62476</v>
      </c>
      <c r="F136" s="7">
        <v>1</v>
      </c>
      <c r="G136" s="8">
        <v>42946</v>
      </c>
      <c r="H136" s="6" t="s">
        <v>13</v>
      </c>
      <c r="I136" s="9" t="s">
        <v>135</v>
      </c>
    </row>
    <row r="137" spans="1:9" x14ac:dyDescent="0.3">
      <c r="A137" s="10" t="s">
        <v>258</v>
      </c>
      <c r="B137" s="11" t="s">
        <v>10</v>
      </c>
      <c r="C137" s="11" t="s">
        <v>34</v>
      </c>
      <c r="D137" s="11" t="s">
        <v>44</v>
      </c>
      <c r="E137" s="12">
        <v>39280</v>
      </c>
      <c r="F137" s="12">
        <v>3</v>
      </c>
      <c r="G137" s="13">
        <v>42953</v>
      </c>
      <c r="H137" s="11" t="s">
        <v>13</v>
      </c>
      <c r="I137" s="14" t="s">
        <v>96</v>
      </c>
    </row>
    <row r="138" spans="1:9" x14ac:dyDescent="0.3">
      <c r="A138" s="5" t="s">
        <v>259</v>
      </c>
      <c r="B138" s="6" t="s">
        <v>31</v>
      </c>
      <c r="C138" s="6" t="s">
        <v>11</v>
      </c>
      <c r="D138" s="6" t="s">
        <v>12</v>
      </c>
      <c r="E138" s="7">
        <v>60335</v>
      </c>
      <c r="F138" s="7">
        <v>4</v>
      </c>
      <c r="G138" s="8">
        <v>42960</v>
      </c>
      <c r="H138" s="6" t="s">
        <v>28</v>
      </c>
      <c r="I138" s="9" t="s">
        <v>126</v>
      </c>
    </row>
    <row r="139" spans="1:9" x14ac:dyDescent="0.3">
      <c r="A139" s="10" t="s">
        <v>260</v>
      </c>
      <c r="B139" s="11" t="s">
        <v>10</v>
      </c>
      <c r="C139" s="11" t="s">
        <v>17</v>
      </c>
      <c r="D139" s="11" t="s">
        <v>18</v>
      </c>
      <c r="E139" s="12">
        <v>84968</v>
      </c>
      <c r="F139" s="12">
        <v>1</v>
      </c>
      <c r="G139" s="13">
        <v>42967</v>
      </c>
      <c r="H139" s="11" t="s">
        <v>22</v>
      </c>
      <c r="I139" s="14" t="s">
        <v>261</v>
      </c>
    </row>
    <row r="140" spans="1:9" x14ac:dyDescent="0.3">
      <c r="A140" s="5" t="s">
        <v>262</v>
      </c>
      <c r="B140" s="6" t="s">
        <v>10</v>
      </c>
      <c r="C140" s="6" t="s">
        <v>39</v>
      </c>
      <c r="D140" s="6" t="s">
        <v>61</v>
      </c>
      <c r="E140" s="7">
        <v>84750</v>
      </c>
      <c r="F140" s="7">
        <v>4</v>
      </c>
      <c r="G140" s="8">
        <v>42974</v>
      </c>
      <c r="H140" s="6" t="s">
        <v>13</v>
      </c>
      <c r="I140" s="9" t="s">
        <v>57</v>
      </c>
    </row>
    <row r="141" spans="1:9" x14ac:dyDescent="0.3">
      <c r="A141" s="10" t="s">
        <v>263</v>
      </c>
      <c r="B141" s="11" t="s">
        <v>51</v>
      </c>
      <c r="C141" s="11" t="s">
        <v>34</v>
      </c>
      <c r="D141" s="11" t="s">
        <v>12</v>
      </c>
      <c r="E141" s="12">
        <v>73348</v>
      </c>
      <c r="F141" s="12">
        <v>2</v>
      </c>
      <c r="G141" s="13">
        <v>42981</v>
      </c>
      <c r="H141" s="11" t="s">
        <v>28</v>
      </c>
      <c r="I141" s="14" t="s">
        <v>168</v>
      </c>
    </row>
    <row r="142" spans="1:9" x14ac:dyDescent="0.3">
      <c r="A142" s="5" t="s">
        <v>264</v>
      </c>
      <c r="B142" s="6" t="s">
        <v>10</v>
      </c>
      <c r="C142" s="6" t="s">
        <v>26</v>
      </c>
      <c r="D142" s="6" t="s">
        <v>27</v>
      </c>
      <c r="E142" s="7">
        <v>67929</v>
      </c>
      <c r="F142" s="7">
        <v>4</v>
      </c>
      <c r="G142" s="8">
        <v>42988</v>
      </c>
      <c r="H142" s="6" t="s">
        <v>13</v>
      </c>
      <c r="I142" s="9" t="s">
        <v>14</v>
      </c>
    </row>
    <row r="143" spans="1:9" x14ac:dyDescent="0.3">
      <c r="A143" s="10" t="s">
        <v>265</v>
      </c>
      <c r="B143" s="11" t="s">
        <v>31</v>
      </c>
      <c r="C143" s="11" t="s">
        <v>39</v>
      </c>
      <c r="D143" s="11" t="s">
        <v>27</v>
      </c>
      <c r="E143" s="12">
        <v>66882</v>
      </c>
      <c r="F143" s="12">
        <v>5</v>
      </c>
      <c r="G143" s="13">
        <v>42995</v>
      </c>
      <c r="H143" s="11" t="s">
        <v>13</v>
      </c>
      <c r="I143" s="14" t="s">
        <v>82</v>
      </c>
    </row>
    <row r="144" spans="1:9" x14ac:dyDescent="0.3">
      <c r="A144" s="5" t="s">
        <v>266</v>
      </c>
      <c r="B144" s="6" t="s">
        <v>21</v>
      </c>
      <c r="C144" s="6" t="s">
        <v>39</v>
      </c>
      <c r="D144" s="6" t="s">
        <v>12</v>
      </c>
      <c r="E144" s="7">
        <v>86775</v>
      </c>
      <c r="F144" s="7">
        <v>3</v>
      </c>
      <c r="G144" s="8">
        <v>43002</v>
      </c>
      <c r="H144" s="6" t="s">
        <v>22</v>
      </c>
      <c r="I144" s="9" t="s">
        <v>92</v>
      </c>
    </row>
    <row r="145" spans="1:9" x14ac:dyDescent="0.3">
      <c r="A145" s="10" t="s">
        <v>267</v>
      </c>
      <c r="B145" s="11" t="s">
        <v>10</v>
      </c>
      <c r="C145" s="11" t="s">
        <v>26</v>
      </c>
      <c r="D145" s="11" t="s">
        <v>44</v>
      </c>
      <c r="E145" s="12">
        <v>91620</v>
      </c>
      <c r="F145" s="12">
        <v>1</v>
      </c>
      <c r="G145" s="13">
        <v>43009</v>
      </c>
      <c r="H145" s="11" t="s">
        <v>22</v>
      </c>
      <c r="I145" s="14" t="s">
        <v>268</v>
      </c>
    </row>
    <row r="146" spans="1:9" x14ac:dyDescent="0.3">
      <c r="A146" s="5" t="s">
        <v>269</v>
      </c>
      <c r="B146" s="6" t="s">
        <v>16</v>
      </c>
      <c r="C146" s="6" t="s">
        <v>39</v>
      </c>
      <c r="D146" s="6" t="s">
        <v>12</v>
      </c>
      <c r="E146" s="7">
        <v>94148</v>
      </c>
      <c r="F146" s="7">
        <v>2</v>
      </c>
      <c r="G146" s="8">
        <v>43016</v>
      </c>
      <c r="H146" s="6" t="s">
        <v>22</v>
      </c>
      <c r="I146" s="9" t="s">
        <v>270</v>
      </c>
    </row>
    <row r="147" spans="1:9" x14ac:dyDescent="0.3">
      <c r="A147" s="10" t="s">
        <v>271</v>
      </c>
      <c r="B147" s="11" t="s">
        <v>37</v>
      </c>
      <c r="C147" s="11" t="s">
        <v>26</v>
      </c>
      <c r="D147" s="11" t="s">
        <v>61</v>
      </c>
      <c r="E147" s="12">
        <v>35627</v>
      </c>
      <c r="F147" s="12">
        <v>5</v>
      </c>
      <c r="G147" s="13">
        <v>43023</v>
      </c>
      <c r="H147" s="11" t="s">
        <v>28</v>
      </c>
      <c r="I147" s="14" t="s">
        <v>255</v>
      </c>
    </row>
    <row r="148" spans="1:9" x14ac:dyDescent="0.3">
      <c r="A148" s="5" t="s">
        <v>272</v>
      </c>
      <c r="B148" s="6" t="s">
        <v>25</v>
      </c>
      <c r="C148" s="6" t="s">
        <v>39</v>
      </c>
      <c r="D148" s="6" t="s">
        <v>27</v>
      </c>
      <c r="E148" s="7">
        <v>57141</v>
      </c>
      <c r="F148" s="7">
        <v>2</v>
      </c>
      <c r="G148" s="8">
        <v>43030</v>
      </c>
      <c r="H148" s="6" t="s">
        <v>13</v>
      </c>
      <c r="I148" s="9" t="s">
        <v>261</v>
      </c>
    </row>
    <row r="149" spans="1:9" x14ac:dyDescent="0.3">
      <c r="A149" s="10" t="s">
        <v>273</v>
      </c>
      <c r="B149" s="11" t="s">
        <v>51</v>
      </c>
      <c r="C149" s="11" t="s">
        <v>26</v>
      </c>
      <c r="D149" s="11" t="s">
        <v>61</v>
      </c>
      <c r="E149" s="12">
        <v>65270</v>
      </c>
      <c r="F149" s="12">
        <v>1</v>
      </c>
      <c r="G149" s="13">
        <v>43037</v>
      </c>
      <c r="H149" s="11" t="s">
        <v>22</v>
      </c>
      <c r="I149" s="14" t="s">
        <v>274</v>
      </c>
    </row>
    <row r="150" spans="1:9" x14ac:dyDescent="0.3">
      <c r="A150" s="5" t="s">
        <v>275</v>
      </c>
      <c r="B150" s="6" t="s">
        <v>51</v>
      </c>
      <c r="C150" s="6" t="s">
        <v>39</v>
      </c>
      <c r="D150" s="6" t="s">
        <v>44</v>
      </c>
      <c r="E150" s="7">
        <v>67335</v>
      </c>
      <c r="F150" s="7">
        <v>1</v>
      </c>
      <c r="G150" s="8">
        <v>43044</v>
      </c>
      <c r="H150" s="6" t="s">
        <v>28</v>
      </c>
      <c r="I150" s="9" t="s">
        <v>141</v>
      </c>
    </row>
    <row r="151" spans="1:9" x14ac:dyDescent="0.3">
      <c r="A151" s="10" t="s">
        <v>276</v>
      </c>
      <c r="B151" s="11" t="s">
        <v>37</v>
      </c>
      <c r="C151" s="11" t="s">
        <v>39</v>
      </c>
      <c r="D151" s="11" t="s">
        <v>12</v>
      </c>
      <c r="E151" s="12">
        <v>98475</v>
      </c>
      <c r="F151" s="12">
        <v>5</v>
      </c>
      <c r="G151" s="13">
        <v>43051</v>
      </c>
      <c r="H151" s="11" t="s">
        <v>28</v>
      </c>
      <c r="I151" s="14" t="s">
        <v>277</v>
      </c>
    </row>
    <row r="152" spans="1:9" x14ac:dyDescent="0.3">
      <c r="B152" s="21" t="s">
        <v>278</v>
      </c>
      <c r="C152" s="20">
        <f t="shared" ref="C152:I152" si="0">COUNTA(C2:C151)</f>
        <v>150</v>
      </c>
      <c r="D152" s="20">
        <f t="shared" si="0"/>
        <v>150</v>
      </c>
      <c r="E152" s="20">
        <f t="shared" si="0"/>
        <v>150</v>
      </c>
      <c r="F152" s="20">
        <f t="shared" si="0"/>
        <v>150</v>
      </c>
      <c r="G152" s="20">
        <f t="shared" si="0"/>
        <v>150</v>
      </c>
      <c r="H152" s="20">
        <f t="shared" si="0"/>
        <v>150</v>
      </c>
      <c r="I152" s="20">
        <f t="shared" si="0"/>
        <v>150</v>
      </c>
    </row>
  </sheetData>
  <conditionalFormatting sqref="A2:I151 B152">
    <cfRule type="containsText" dxfId="6" priority="10" operator="containsText" text="UK">
      <formula>NOT(ISERROR(SEARCH("UK",A2)))</formula>
    </cfRule>
    <cfRule type="containsText" dxfId="5" priority="11" operator="containsText" text="Australia">
      <formula>NOT(ISERROR(SEARCH("Australia",A2)))</formula>
    </cfRule>
    <cfRule type="containsText" dxfId="4" priority="12" operator="containsText" text="USA">
      <formula>NOT(ISERROR(SEARCH("USA",A2)))</formula>
    </cfRule>
    <cfRule type="containsText" dxfId="3" priority="13" operator="containsText" text="Germany">
      <formula>NOT(ISERROR(SEARCH("Germany",A2)))</formula>
    </cfRule>
    <cfRule type="containsText" dxfId="2" priority="14" operator="containsText" text="India">
      <formula>NOT(ISERROR(SEARCH("India",A2)))</formula>
    </cfRule>
  </conditionalFormatting>
  <conditionalFormatting sqref="B2:I151 B152">
    <cfRule type="colorScale" priority="1">
      <colorScale>
        <cfvo type="min"/>
        <cfvo type="percentile" val="50"/>
        <cfvo type="max"/>
        <color rgb="FFF8696B"/>
        <color rgb="FFFCFCFF"/>
        <color rgb="FF63BE7B"/>
      </colorScale>
    </cfRule>
  </conditionalFormatting>
  <conditionalFormatting sqref="E1">
    <cfRule type="dataBar" priority="5">
      <dataBar>
        <cfvo type="min"/>
        <cfvo type="max"/>
        <color rgb="FFD6007B"/>
      </dataBar>
      <extLst>
        <ext xmlns:x14="http://schemas.microsoft.com/office/spreadsheetml/2009/9/main" uri="{B025F937-C7B1-47D3-B67F-A62EFF666E3E}">
          <x14:id>{D93BFA51-5ACC-4595-AA17-F4417AD831B0}</x14:id>
        </ext>
      </extLst>
    </cfRule>
  </conditionalFormatting>
  <conditionalFormatting sqref="E2:F151">
    <cfRule type="dataBar" priority="9">
      <dataBar>
        <cfvo type="min"/>
        <cfvo type="max"/>
        <color rgb="FFD6007B"/>
      </dataBar>
      <extLst>
        <ext xmlns:x14="http://schemas.microsoft.com/office/spreadsheetml/2009/9/main" uri="{B025F937-C7B1-47D3-B67F-A62EFF666E3E}">
          <x14:id>{D400A4BD-67B1-4384-BA8C-7B6B90909296}</x14:id>
        </ext>
      </extLst>
    </cfRule>
  </conditionalFormatting>
  <conditionalFormatting sqref="F1">
    <cfRule type="iconSet" priority="2">
      <iconSet iconSet="5Arrows">
        <cfvo type="percent" val="0"/>
        <cfvo type="percent" val="20"/>
        <cfvo type="percent" val="40"/>
        <cfvo type="percent" val="60"/>
        <cfvo type="percent" val="80"/>
      </iconSet>
    </cfRule>
    <cfRule type="iconSet" priority="3">
      <iconSet iconSet="3Symbols2">
        <cfvo type="percent" val="0"/>
        <cfvo type="percent" val="33"/>
        <cfvo type="percent" val="67"/>
      </iconSet>
    </cfRule>
  </conditionalFormatting>
  <conditionalFormatting sqref="F2:F151">
    <cfRule type="iconSet" priority="6">
      <iconSet iconSet="5Arrows">
        <cfvo type="percent" val="0"/>
        <cfvo type="percent" val="20"/>
        <cfvo type="percent" val="40"/>
        <cfvo type="percent" val="60"/>
        <cfvo type="percent" val="80"/>
      </iconSet>
    </cfRule>
    <cfRule type="iconSet" priority="7">
      <iconSet iconSet="3Symbols2">
        <cfvo type="percent" val="0"/>
        <cfvo type="percent" val="33"/>
        <cfvo type="percent" val="67"/>
      </iconSet>
    </cfRule>
  </conditionalFormatting>
  <conditionalFormatting sqref="H1">
    <cfRule type="iconSet" priority="4">
      <iconSet>
        <cfvo type="percent" val="0"/>
        <cfvo type="percent" val="33"/>
        <cfvo type="percent" val="67"/>
      </iconSet>
    </cfRule>
  </conditionalFormatting>
  <conditionalFormatting sqref="H2:H151">
    <cfRule type="iconSet" priority="8">
      <iconSet>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93BFA51-5ACC-4595-AA17-F4417AD831B0}">
            <x14:dataBar minLength="0" maxLength="100" border="1" negativeBarBorderColorSameAsPositive="0">
              <x14:cfvo type="autoMin"/>
              <x14:cfvo type="autoMax"/>
              <x14:borderColor rgb="FFD6007B"/>
              <x14:negativeFillColor rgb="FFFF0000"/>
              <x14:negativeBorderColor rgb="FFFF0000"/>
              <x14:axisColor rgb="FF000000"/>
            </x14:dataBar>
          </x14:cfRule>
          <xm:sqref>E1</xm:sqref>
        </x14:conditionalFormatting>
        <x14:conditionalFormatting xmlns:xm="http://schemas.microsoft.com/office/excel/2006/main">
          <x14:cfRule type="dataBar" id="{D400A4BD-67B1-4384-BA8C-7B6B90909296}">
            <x14:dataBar minLength="0" maxLength="100" border="1" negativeBarBorderColorSameAsPositive="0">
              <x14:cfvo type="autoMin"/>
              <x14:cfvo type="autoMax"/>
              <x14:borderColor rgb="FFD6007B"/>
              <x14:negativeFillColor rgb="FFFF0000"/>
              <x14:negativeBorderColor rgb="FFFF0000"/>
              <x14:axisColor rgb="FF000000"/>
            </x14:dataBar>
          </x14:cfRule>
          <xm:sqref>E2:F151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B2D0B-709B-407E-A076-DA03E81B38BB}">
  <dimension ref="A3:J100"/>
  <sheetViews>
    <sheetView topLeftCell="J53" workbookViewId="0">
      <selection activeCell="U79" sqref="U79"/>
    </sheetView>
  </sheetViews>
  <sheetFormatPr defaultRowHeight="14.4" x14ac:dyDescent="0.3"/>
  <cols>
    <col min="1" max="1" width="16.109375" bestFit="1" customWidth="1"/>
    <col min="2" max="2" width="16.33203125" bestFit="1" customWidth="1"/>
    <col min="3" max="3" width="3.44140625" bestFit="1" customWidth="1"/>
    <col min="4" max="4" width="3" bestFit="1" customWidth="1"/>
    <col min="5" max="5" width="10.109375" bestFit="1" customWidth="1"/>
    <col min="6" max="6" width="5.5546875" bestFit="1" customWidth="1"/>
    <col min="7" max="7" width="11.33203125" bestFit="1" customWidth="1"/>
    <col min="9" max="9" width="13.109375" bestFit="1" customWidth="1"/>
    <col min="10" max="10" width="29" bestFit="1" customWidth="1"/>
    <col min="19" max="19" width="13.109375" bestFit="1" customWidth="1"/>
    <col min="20" max="20" width="29" bestFit="1" customWidth="1"/>
  </cols>
  <sheetData>
    <row r="3" spans="1:2" x14ac:dyDescent="0.3">
      <c r="A3" s="15" t="s">
        <v>279</v>
      </c>
      <c r="B3" t="s">
        <v>280</v>
      </c>
    </row>
    <row r="4" spans="1:2" x14ac:dyDescent="0.3">
      <c r="A4" s="16" t="s">
        <v>11</v>
      </c>
      <c r="B4" s="22">
        <v>65604.590909090912</v>
      </c>
    </row>
    <row r="5" spans="1:2" x14ac:dyDescent="0.3">
      <c r="A5" s="16" t="s">
        <v>17</v>
      </c>
      <c r="B5" s="22">
        <v>67834.583333333328</v>
      </c>
    </row>
    <row r="6" spans="1:2" x14ac:dyDescent="0.3">
      <c r="A6" s="16" t="s">
        <v>34</v>
      </c>
      <c r="B6" s="22">
        <v>66157.52</v>
      </c>
    </row>
    <row r="7" spans="1:2" x14ac:dyDescent="0.3">
      <c r="A7" s="16" t="s">
        <v>39</v>
      </c>
      <c r="B7" s="22">
        <v>65071.981132075474</v>
      </c>
    </row>
    <row r="8" spans="1:2" x14ac:dyDescent="0.3">
      <c r="A8" s="16" t="s">
        <v>26</v>
      </c>
      <c r="B8" s="22">
        <v>67929.076923076922</v>
      </c>
    </row>
    <row r="9" spans="1:2" x14ac:dyDescent="0.3">
      <c r="A9" s="16" t="s">
        <v>281</v>
      </c>
      <c r="B9" s="22">
        <v>66268.266666666663</v>
      </c>
    </row>
    <row r="21" spans="1:7" x14ac:dyDescent="0.3">
      <c r="A21" s="15" t="s">
        <v>282</v>
      </c>
      <c r="B21" s="15" t="s">
        <v>283</v>
      </c>
    </row>
    <row r="22" spans="1:7" x14ac:dyDescent="0.3">
      <c r="A22" s="15" t="s">
        <v>279</v>
      </c>
      <c r="B22" t="s">
        <v>11</v>
      </c>
      <c r="C22" t="s">
        <v>17</v>
      </c>
      <c r="D22" t="s">
        <v>34</v>
      </c>
      <c r="E22" t="s">
        <v>39</v>
      </c>
      <c r="F22" t="s">
        <v>26</v>
      </c>
      <c r="G22" t="s">
        <v>281</v>
      </c>
    </row>
    <row r="23" spans="1:7" x14ac:dyDescent="0.3">
      <c r="A23" s="16" t="s">
        <v>22</v>
      </c>
      <c r="B23" s="22">
        <v>8</v>
      </c>
      <c r="C23" s="22">
        <v>11</v>
      </c>
      <c r="D23" s="22">
        <v>5</v>
      </c>
      <c r="E23" s="22">
        <v>16</v>
      </c>
      <c r="F23" s="22">
        <v>9</v>
      </c>
      <c r="G23" s="22">
        <v>49</v>
      </c>
    </row>
    <row r="24" spans="1:7" x14ac:dyDescent="0.3">
      <c r="A24" s="16" t="s">
        <v>28</v>
      </c>
      <c r="B24" s="22">
        <v>4</v>
      </c>
      <c r="C24" s="22">
        <v>7</v>
      </c>
      <c r="D24" s="22">
        <v>10</v>
      </c>
      <c r="E24" s="22">
        <v>20</v>
      </c>
      <c r="F24" s="22">
        <v>10</v>
      </c>
      <c r="G24" s="22">
        <v>51</v>
      </c>
    </row>
    <row r="25" spans="1:7" x14ac:dyDescent="0.3">
      <c r="A25" s="16" t="s">
        <v>13</v>
      </c>
      <c r="B25" s="22">
        <v>10</v>
      </c>
      <c r="C25" s="22">
        <v>6</v>
      </c>
      <c r="D25" s="22">
        <v>10</v>
      </c>
      <c r="E25" s="22">
        <v>17</v>
      </c>
      <c r="F25" s="22">
        <v>7</v>
      </c>
      <c r="G25" s="22">
        <v>50</v>
      </c>
    </row>
    <row r="26" spans="1:7" x14ac:dyDescent="0.3">
      <c r="A26" s="16" t="s">
        <v>281</v>
      </c>
      <c r="B26" s="22">
        <v>22</v>
      </c>
      <c r="C26" s="22">
        <v>24</v>
      </c>
      <c r="D26" s="22">
        <v>25</v>
      </c>
      <c r="E26" s="22">
        <v>53</v>
      </c>
      <c r="F26" s="22">
        <v>26</v>
      </c>
      <c r="G26" s="22">
        <v>150</v>
      </c>
    </row>
    <row r="35" spans="1:6" x14ac:dyDescent="0.3">
      <c r="A35" s="15" t="s">
        <v>284</v>
      </c>
      <c r="B35" s="15" t="s">
        <v>283</v>
      </c>
    </row>
    <row r="36" spans="1:6" x14ac:dyDescent="0.3">
      <c r="A36" s="15" t="s">
        <v>279</v>
      </c>
      <c r="B36">
        <v>1</v>
      </c>
      <c r="C36">
        <v>2</v>
      </c>
      <c r="D36">
        <v>3</v>
      </c>
      <c r="E36">
        <v>4</v>
      </c>
      <c r="F36">
        <v>5</v>
      </c>
    </row>
    <row r="37" spans="1:6" x14ac:dyDescent="0.3">
      <c r="A37" s="16" t="s">
        <v>61</v>
      </c>
      <c r="B37" s="22">
        <v>10</v>
      </c>
      <c r="C37" s="22">
        <v>2</v>
      </c>
      <c r="D37" s="22">
        <v>3</v>
      </c>
      <c r="E37" s="22">
        <v>1</v>
      </c>
      <c r="F37" s="22">
        <v>3</v>
      </c>
    </row>
    <row r="38" spans="1:6" x14ac:dyDescent="0.3">
      <c r="A38" s="16" t="s">
        <v>18</v>
      </c>
      <c r="B38" s="22">
        <v>10</v>
      </c>
      <c r="C38" s="22">
        <v>2</v>
      </c>
      <c r="D38" s="22">
        <v>6</v>
      </c>
      <c r="E38" s="22">
        <v>2</v>
      </c>
      <c r="F38" s="22">
        <v>3</v>
      </c>
    </row>
    <row r="39" spans="1:6" x14ac:dyDescent="0.3">
      <c r="A39" s="16" t="s">
        <v>12</v>
      </c>
      <c r="B39" s="22">
        <v>21</v>
      </c>
      <c r="C39" s="22">
        <v>10</v>
      </c>
      <c r="D39" s="22">
        <v>10</v>
      </c>
      <c r="E39" s="22">
        <v>8</v>
      </c>
      <c r="F39" s="22">
        <v>10</v>
      </c>
    </row>
    <row r="40" spans="1:6" x14ac:dyDescent="0.3">
      <c r="A40" s="16" t="s">
        <v>44</v>
      </c>
      <c r="B40" s="22">
        <v>8</v>
      </c>
      <c r="C40" s="22">
        <v>3</v>
      </c>
      <c r="D40" s="22">
        <v>7</v>
      </c>
      <c r="E40" s="22">
        <v>3</v>
      </c>
      <c r="F40" s="22">
        <v>4</v>
      </c>
    </row>
    <row r="41" spans="1:6" x14ac:dyDescent="0.3">
      <c r="A41" s="16" t="s">
        <v>27</v>
      </c>
      <c r="B41" s="22">
        <v>6</v>
      </c>
      <c r="C41" s="22">
        <v>6</v>
      </c>
      <c r="D41" s="22">
        <v>4</v>
      </c>
      <c r="E41" s="22">
        <v>3</v>
      </c>
      <c r="F41" s="22">
        <v>5</v>
      </c>
    </row>
    <row r="55" spans="1:10" x14ac:dyDescent="0.3">
      <c r="A55" s="16"/>
    </row>
    <row r="56" spans="1:10" x14ac:dyDescent="0.3">
      <c r="A56" s="16"/>
    </row>
    <row r="57" spans="1:10" x14ac:dyDescent="0.3">
      <c r="I57" s="15" t="s">
        <v>279</v>
      </c>
      <c r="J57" t="s">
        <v>285</v>
      </c>
    </row>
    <row r="58" spans="1:10" x14ac:dyDescent="0.3">
      <c r="I58" s="16" t="s">
        <v>11</v>
      </c>
      <c r="J58" s="19">
        <v>2.3636363636363638</v>
      </c>
    </row>
    <row r="59" spans="1:10" x14ac:dyDescent="0.3">
      <c r="I59" s="16" t="s">
        <v>17</v>
      </c>
      <c r="J59" s="19">
        <v>2.4166666666666665</v>
      </c>
    </row>
    <row r="60" spans="1:10" x14ac:dyDescent="0.3">
      <c r="I60" s="16" t="s">
        <v>34</v>
      </c>
      <c r="J60" s="19">
        <v>2.4</v>
      </c>
    </row>
    <row r="61" spans="1:10" x14ac:dyDescent="0.3">
      <c r="I61" s="16" t="s">
        <v>39</v>
      </c>
      <c r="J61" s="19">
        <v>2.8301886792452828</v>
      </c>
    </row>
    <row r="62" spans="1:10" x14ac:dyDescent="0.3">
      <c r="I62" s="16" t="s">
        <v>26</v>
      </c>
      <c r="J62" s="19">
        <v>2.4615384615384617</v>
      </c>
    </row>
    <row r="72" spans="1:2" x14ac:dyDescent="0.3">
      <c r="A72" s="15" t="s">
        <v>279</v>
      </c>
      <c r="B72" t="s">
        <v>280</v>
      </c>
    </row>
    <row r="73" spans="1:2" x14ac:dyDescent="0.3">
      <c r="A73" s="16" t="s">
        <v>61</v>
      </c>
      <c r="B73" s="17">
        <v>61609.84210526316</v>
      </c>
    </row>
    <row r="74" spans="1:2" x14ac:dyDescent="0.3">
      <c r="A74" s="16" t="s">
        <v>18</v>
      </c>
      <c r="B74" s="17">
        <v>65861.434782608689</v>
      </c>
    </row>
    <row r="75" spans="1:2" x14ac:dyDescent="0.3">
      <c r="A75" s="16" t="s">
        <v>12</v>
      </c>
      <c r="B75" s="17">
        <v>68764.677966101692</v>
      </c>
    </row>
    <row r="76" spans="1:2" x14ac:dyDescent="0.3">
      <c r="A76" s="16" t="s">
        <v>44</v>
      </c>
      <c r="B76" s="17">
        <v>62118</v>
      </c>
    </row>
    <row r="77" spans="1:2" x14ac:dyDescent="0.3">
      <c r="A77" s="16" t="s">
        <v>27</v>
      </c>
      <c r="B77" s="17">
        <v>68532.25</v>
      </c>
    </row>
    <row r="94" spans="1:6" x14ac:dyDescent="0.3">
      <c r="A94" s="15" t="s">
        <v>286</v>
      </c>
      <c r="B94" s="15" t="s">
        <v>283</v>
      </c>
    </row>
    <row r="95" spans="1:6" x14ac:dyDescent="0.3">
      <c r="A95" s="15" t="s">
        <v>279</v>
      </c>
      <c r="B95" t="s">
        <v>11</v>
      </c>
      <c r="C95" t="s">
        <v>17</v>
      </c>
      <c r="D95" t="s">
        <v>34</v>
      </c>
      <c r="E95" t="s">
        <v>39</v>
      </c>
      <c r="F95" t="s">
        <v>26</v>
      </c>
    </row>
    <row r="96" spans="1:6" x14ac:dyDescent="0.3">
      <c r="A96" s="16" t="s">
        <v>61</v>
      </c>
      <c r="B96" s="22">
        <v>2</v>
      </c>
      <c r="C96" s="22">
        <v>1</v>
      </c>
      <c r="D96" s="22">
        <v>1</v>
      </c>
      <c r="E96" s="22">
        <v>9</v>
      </c>
      <c r="F96" s="22">
        <v>6</v>
      </c>
    </row>
    <row r="97" spans="1:6" x14ac:dyDescent="0.3">
      <c r="A97" s="16" t="s">
        <v>18</v>
      </c>
      <c r="B97" s="22">
        <v>1</v>
      </c>
      <c r="C97" s="22">
        <v>9</v>
      </c>
      <c r="D97" s="22">
        <v>4</v>
      </c>
      <c r="E97" s="22">
        <v>6</v>
      </c>
      <c r="F97" s="22">
        <v>3</v>
      </c>
    </row>
    <row r="98" spans="1:6" x14ac:dyDescent="0.3">
      <c r="A98" s="16" t="s">
        <v>12</v>
      </c>
      <c r="B98" s="22">
        <v>11</v>
      </c>
      <c r="C98" s="22">
        <v>7</v>
      </c>
      <c r="D98" s="22">
        <v>11</v>
      </c>
      <c r="E98" s="22">
        <v>20</v>
      </c>
      <c r="F98" s="22">
        <v>10</v>
      </c>
    </row>
    <row r="99" spans="1:6" x14ac:dyDescent="0.3">
      <c r="A99" s="16" t="s">
        <v>44</v>
      </c>
      <c r="B99" s="22">
        <v>5</v>
      </c>
      <c r="C99" s="22">
        <v>4</v>
      </c>
      <c r="D99" s="22">
        <v>4</v>
      </c>
      <c r="E99" s="22">
        <v>11</v>
      </c>
      <c r="F99" s="22">
        <v>1</v>
      </c>
    </row>
    <row r="100" spans="1:6" x14ac:dyDescent="0.3">
      <c r="A100" s="16" t="s">
        <v>27</v>
      </c>
      <c r="B100" s="22">
        <v>3</v>
      </c>
      <c r="C100" s="22">
        <v>3</v>
      </c>
      <c r="D100" s="22">
        <v>5</v>
      </c>
      <c r="E100" s="22">
        <v>7</v>
      </c>
      <c r="F100" s="22">
        <v>6</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7E729-D25C-49F5-97CD-4D25EC15D8A8}">
  <sheetPr>
    <pageSetUpPr fitToPage="1"/>
  </sheetPr>
  <dimension ref="A1:AC3"/>
  <sheetViews>
    <sheetView tabSelected="1" zoomScaleNormal="100" workbookViewId="0">
      <selection sqref="A1:W3"/>
    </sheetView>
  </sheetViews>
  <sheetFormatPr defaultRowHeight="14.4" x14ac:dyDescent="0.3"/>
  <sheetData>
    <row r="1" spans="1:29" ht="15" customHeight="1" x14ac:dyDescent="0.3">
      <c r="A1" s="23" t="s">
        <v>287</v>
      </c>
      <c r="B1" s="23"/>
      <c r="C1" s="23"/>
      <c r="D1" s="23"/>
      <c r="E1" s="23"/>
      <c r="F1" s="23"/>
      <c r="G1" s="23"/>
      <c r="H1" s="23"/>
      <c r="I1" s="23"/>
      <c r="J1" s="23"/>
      <c r="K1" s="23"/>
      <c r="L1" s="23"/>
      <c r="M1" s="23"/>
      <c r="N1" s="23"/>
      <c r="O1" s="23"/>
      <c r="P1" s="23"/>
      <c r="Q1" s="23"/>
      <c r="R1" s="23"/>
      <c r="S1" s="23"/>
      <c r="T1" s="23"/>
      <c r="U1" s="23"/>
      <c r="V1" s="23"/>
      <c r="W1" s="23"/>
      <c r="X1" s="18"/>
      <c r="Y1" s="18"/>
      <c r="Z1" s="18"/>
      <c r="AA1" s="18"/>
      <c r="AB1" s="18"/>
      <c r="AC1" s="18"/>
    </row>
    <row r="2" spans="1:29" ht="15" customHeight="1" x14ac:dyDescent="0.3">
      <c r="A2" s="23"/>
      <c r="B2" s="23"/>
      <c r="C2" s="23"/>
      <c r="D2" s="23"/>
      <c r="E2" s="23"/>
      <c r="F2" s="23"/>
      <c r="G2" s="23"/>
      <c r="H2" s="23"/>
      <c r="I2" s="23"/>
      <c r="J2" s="23"/>
      <c r="K2" s="23"/>
      <c r="L2" s="23"/>
      <c r="M2" s="23"/>
      <c r="N2" s="23"/>
      <c r="O2" s="23"/>
      <c r="P2" s="23"/>
      <c r="Q2" s="23"/>
      <c r="R2" s="23"/>
      <c r="S2" s="23"/>
      <c r="T2" s="23"/>
      <c r="U2" s="23"/>
      <c r="V2" s="23"/>
      <c r="W2" s="23"/>
      <c r="X2" s="18"/>
      <c r="Y2" s="18"/>
      <c r="Z2" s="18"/>
      <c r="AA2" s="18"/>
      <c r="AB2" s="18"/>
      <c r="AC2" s="18"/>
    </row>
    <row r="3" spans="1:29" ht="15" customHeight="1" x14ac:dyDescent="0.3">
      <c r="A3" s="23"/>
      <c r="B3" s="23"/>
      <c r="C3" s="23"/>
      <c r="D3" s="23"/>
      <c r="E3" s="23"/>
      <c r="F3" s="23"/>
      <c r="G3" s="23"/>
      <c r="H3" s="23"/>
      <c r="I3" s="23"/>
      <c r="J3" s="23"/>
      <c r="K3" s="23"/>
      <c r="L3" s="23"/>
      <c r="M3" s="23"/>
      <c r="N3" s="23"/>
      <c r="O3" s="23"/>
      <c r="P3" s="23"/>
      <c r="Q3" s="23"/>
      <c r="R3" s="23"/>
      <c r="S3" s="23"/>
      <c r="T3" s="23"/>
      <c r="U3" s="23"/>
      <c r="V3" s="23"/>
      <c r="W3" s="23"/>
      <c r="X3" s="18"/>
      <c r="Y3" s="18"/>
      <c r="Z3" s="18"/>
      <c r="AA3" s="18"/>
      <c r="AB3" s="18"/>
      <c r="AC3" s="18"/>
    </row>
  </sheetData>
  <mergeCells count="1">
    <mergeCell ref="A1:W3"/>
  </mergeCells>
  <pageMargins left="0.25" right="0.25" top="0.75" bottom="0.75" header="0.3" footer="0.3"/>
  <pageSetup paperSize="9" scale="67"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Dataset</vt:lpstr>
      <vt:lpstr>Pivot Table</vt:lpstr>
      <vt:lpstr>Employee Details Dashboard</vt:lpstr>
      <vt:lpstr>'Employee Details Dashboard'!Print_Area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IYAL UD</dc:creator>
  <cp:keywords/>
  <dc:description/>
  <cp:lastModifiedBy>sindhujadurai21@gmail.com</cp:lastModifiedBy>
  <cp:revision/>
  <dcterms:created xsi:type="dcterms:W3CDTF">2015-06-05T18:17:20Z</dcterms:created>
  <dcterms:modified xsi:type="dcterms:W3CDTF">2025-12-19T13:44:04Z</dcterms:modified>
  <cp:category/>
  <cp:contentStatus/>
</cp:coreProperties>
</file>